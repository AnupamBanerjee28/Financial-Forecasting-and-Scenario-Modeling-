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fin\New folder\Financial Forecasting Model\"/>
    </mc:Choice>
  </mc:AlternateContent>
  <xr:revisionPtr revIDLastSave="0" documentId="13_ncr:1_{D72140E3-0E96-4FA4-99AA-505A9A0306B3}" xr6:coauthVersionLast="47" xr6:coauthVersionMax="47" xr10:uidLastSave="{00000000-0000-0000-0000-000000000000}"/>
  <bookViews>
    <workbookView xWindow="-108" yWindow="-108" windowWidth="23256" windowHeight="12456" firstSheet="1" activeTab="5" xr2:uid="{CCE7D946-F53C-42C9-B91B-C3A5A30D6A62}"/>
  </bookViews>
  <sheets>
    <sheet name="RawData" sheetId="3" r:id="rId1"/>
    <sheet name="Model" sheetId="2" r:id="rId2"/>
    <sheet name="Line Chart for Revenue Forec" sheetId="8" r:id="rId3"/>
    <sheet name="Bar Chart for Expense Breakd" sheetId="9" r:id="rId4"/>
    <sheet name="Assumptions" sheetId="4" r:id="rId5"/>
    <sheet name="Outpu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D14" i="9" s="1"/>
  <c r="D23" i="2"/>
  <c r="B23" i="2"/>
  <c r="E3" i="6"/>
  <c r="E2" i="6"/>
  <c r="B5" i="4"/>
  <c r="E25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" i="3"/>
  <c r="E23" i="2"/>
  <c r="B14" i="9" l="1"/>
  <c r="D15" i="9"/>
  <c r="C14" i="9"/>
  <c r="B13" i="9"/>
  <c r="C13" i="9"/>
  <c r="C23" i="2"/>
  <c r="E24" i="2"/>
  <c r="B24" i="2"/>
  <c r="C24" i="2" s="1"/>
  <c r="C15" i="9" l="1"/>
  <c r="B15" i="9"/>
  <c r="D24" i="2"/>
  <c r="F24" i="2" s="1"/>
  <c r="G24" i="2" s="1"/>
  <c r="F23" i="2"/>
  <c r="G23" i="2" s="1"/>
  <c r="E4" i="6" s="1"/>
  <c r="B25" i="2"/>
  <c r="D25" i="2" s="1"/>
  <c r="C25" i="2" l="1"/>
  <c r="F25" i="2" s="1"/>
  <c r="G25" i="2" s="1"/>
</calcChain>
</file>

<file path=xl/sharedStrings.xml><?xml version="1.0" encoding="utf-8"?>
<sst xmlns="http://schemas.openxmlformats.org/spreadsheetml/2006/main" count="57" uniqueCount="34">
  <si>
    <t>Revenue</t>
  </si>
  <si>
    <t>COGS</t>
  </si>
  <si>
    <t>OperatingExpenses</t>
  </si>
  <si>
    <t>InterestExpense</t>
  </si>
  <si>
    <t>Taxes</t>
  </si>
  <si>
    <t>NetIncome</t>
  </si>
  <si>
    <t>Year</t>
  </si>
  <si>
    <t>Revenue Growth %</t>
  </si>
  <si>
    <t>COGS % of Revenue</t>
  </si>
  <si>
    <t>OpEx % of Revenue</t>
  </si>
  <si>
    <t>Interest</t>
  </si>
  <si>
    <t>Tax Rate</t>
  </si>
  <si>
    <t>Assumption</t>
  </si>
  <si>
    <t>Net Income</t>
  </si>
  <si>
    <t>COGS%</t>
  </si>
  <si>
    <t>What-If Analysis</t>
  </si>
  <si>
    <t>Required</t>
  </si>
  <si>
    <t>To Achieve</t>
  </si>
  <si>
    <t>Goal Seek</t>
  </si>
  <si>
    <t>$E$26</t>
  </si>
  <si>
    <t>$E$27</t>
  </si>
  <si>
    <t>$E$28</t>
  </si>
  <si>
    <t>$E$4</t>
  </si>
  <si>
    <t>Best Case</t>
  </si>
  <si>
    <t>Most Likely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</si>
  <si>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</si>
  <si>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</si>
  <si>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</si>
  <si>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</si>
  <si>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</si>
  <si>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</si>
  <si>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</si>
  <si>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</si>
  <si>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Scenario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</si>
</sst>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&quot; B&quot;"/>
    <numFmt numFmtId="165" formatCode="0.00,,&quot;B&quot;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1" fontId="0" fillId="0" borderId="0" xfId="0" applyNumberFormat="1"/>
    <xf numFmtId="14" fontId="0" fillId="0" borderId="0" xfId="0" applyNumberFormat="1"/>
    <xf numFmtId="0" fontId="2" fillId="0" borderId="0" xfId="0" applyFont="1"/>
    <xf numFmtId="164" fontId="0" fillId="0" borderId="0" xfId="0" applyNumberFormat="1"/>
    <xf numFmtId="0" fontId="1" fillId="3" borderId="0" xfId="0" applyFont="1" applyFill="1"/>
    <xf numFmtId="9" fontId="1" fillId="4" borderId="0" xfId="0" applyNumberFormat="1" applyFont="1" applyFill="1"/>
    <xf numFmtId="2" fontId="1" fillId="4" borderId="0" xfId="0" applyNumberFormat="1" applyFont="1" applyFill="1"/>
    <xf numFmtId="0" fontId="1" fillId="2" borderId="0" xfId="0" applyFont="1" applyFill="1"/>
    <xf numFmtId="164" fontId="1" fillId="2" borderId="0" xfId="0" applyNumberFormat="1" applyFont="1" applyFill="1"/>
    <xf numFmtId="164" fontId="1" fillId="5" borderId="0" xfId="0" applyNumberFormat="1" applyFont="1" applyFill="1"/>
    <xf numFmtId="9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0" fontId="0" fillId="0" borderId="0" xfId="0" applyNumberFormat="1"/>
    <xf numFmtId="9" fontId="0" fillId="0" borderId="0" xfId="1" applyFont="1"/>
    <xf numFmtId="0" fontId="1" fillId="4" borderId="0" xfId="0" applyFont="1" applyFill="1"/>
    <xf numFmtId="164" fontId="0" fillId="0" borderId="0" xfId="0" applyNumberFormat="1" applyAlignment="1">
      <alignment horizontal="center"/>
    </xf>
    <xf numFmtId="9" fontId="1" fillId="0" borderId="0" xfId="1" applyFont="1"/>
    <xf numFmtId="164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horizontal="right" vertical="center" wrapText="1"/>
    </xf>
    <xf numFmtId="164" fontId="5" fillId="7" borderId="0" xfId="0" applyNumberFormat="1" applyFont="1" applyFill="1" applyAlignment="1">
      <alignment horizontal="center" vertical="center" wrapText="1"/>
    </xf>
    <xf numFmtId="0" fontId="6" fillId="8" borderId="3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7" fillId="9" borderId="0" xfId="0" applyFont="1" applyFill="1" applyAlignment="1">
      <alignment horizontal="left"/>
    </xf>
    <xf numFmtId="0" fontId="8" fillId="9" borderId="4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9" fillId="0" borderId="0" xfId="0" applyFont="1" applyAlignment="1">
      <alignment vertical="top" wrapText="1"/>
    </xf>
    <xf numFmtId="0" fontId="10" fillId="4" borderId="0" xfId="0" applyFont="1" applyFill="1"/>
    <xf numFmtId="1" fontId="1" fillId="0" borderId="0" xfId="0" applyNumberFormat="1" applyFont="1"/>
    <xf numFmtId="0" fontId="1" fillId="0" borderId="4" xfId="0" applyFont="1" applyBorder="1"/>
    <xf numFmtId="0" fontId="1" fillId="0" borderId="0" xfId="0" applyFont="1"/>
    <xf numFmtId="0" fontId="1" fillId="10" borderId="0" xfId="0" applyFont="1" applyFill="1"/>
    <xf numFmtId="164" fontId="1" fillId="0" borderId="2" xfId="0" applyNumberFormat="1" applyFont="1" applyBorder="1"/>
    <xf numFmtId="0" fontId="11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right"/>
    </xf>
    <xf numFmtId="0" fontId="11" fillId="8" borderId="3" xfId="0" applyFont="1" applyFill="1" applyBorder="1" applyAlignment="1">
      <alignment horizontal="left"/>
    </xf>
    <xf numFmtId="0" fontId="12" fillId="8" borderId="3" xfId="0" applyFont="1" applyFill="1" applyBorder="1" applyAlignment="1">
      <alignment horizontal="right"/>
    </xf>
    <xf numFmtId="164" fontId="5" fillId="7" borderId="0" xfId="0" applyNumberFormat="1" applyFont="1" applyFill="1" applyAlignment="1">
      <alignment horizontal="right" vertical="center" wrapText="1"/>
    </xf>
    <xf numFmtId="164" fontId="1" fillId="7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horizontal="center" wrapText="1"/>
    </xf>
    <xf numFmtId="164" fontId="5" fillId="7" borderId="0" xfId="0" applyNumberFormat="1" applyFont="1" applyFill="1" applyAlignment="1">
      <alignment horizontal="center" vertical="center" wrapText="1"/>
    </xf>
    <xf numFmtId="164" fontId="1" fillId="7" borderId="0" xfId="0" applyNumberFormat="1" applyFont="1" applyFill="1" applyAlignment="1">
      <alignment horizontal="center" vertical="center" wrapText="1"/>
    </xf>
    <xf numFmtId="9" fontId="1" fillId="6" borderId="0" xfId="1" applyFont="1" applyFill="1" applyAlignment="1">
      <alignment horizontal="center"/>
    </xf>
    <xf numFmtId="164" fontId="1" fillId="6" borderId="0" xfId="0" applyNumberFormat="1" applyFont="1" applyFill="1" applyAlignment="1">
      <alignment horizontal="center" vertical="center" wrapText="1"/>
    </xf>
    <xf numFmtId="164" fontId="1" fillId="6" borderId="0" xfId="0" applyNumberFormat="1" applyFont="1" applyFill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7003499562555"/>
          <c:y val="5.0925925925925923E-2"/>
          <c:w val="0.84091885389326326"/>
          <c:h val="0.70255395158938461"/>
        </c:manualLayout>
      </c:layout>
      <c:lineChart>
        <c:grouping val="standard"/>
        <c:varyColors val="0"/>
        <c:ser>
          <c:idx val="0"/>
          <c:order val="0"/>
          <c:tx>
            <c:strRef>
              <c:f>Model!$B$1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Model!$A$2:$A$25</c:f>
              <c:numCache>
                <c:formatCode>General</c:formatCode>
                <c:ptCount val="2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</c:numCache>
            </c:numRef>
          </c:cat>
          <c:val>
            <c:numRef>
              <c:f>Model!$B$2:$B$25</c:f>
              <c:numCache>
                <c:formatCode>0.00,," B"</c:formatCode>
                <c:ptCount val="24"/>
                <c:pt idx="0">
                  <c:v>1919092000</c:v>
                </c:pt>
                <c:pt idx="1">
                  <c:v>1578456000</c:v>
                </c:pt>
                <c:pt idx="2">
                  <c:v>3205498000</c:v>
                </c:pt>
                <c:pt idx="3">
                  <c:v>2689700000</c:v>
                </c:pt>
                <c:pt idx="4">
                  <c:v>2456000000</c:v>
                </c:pt>
                <c:pt idx="5">
                  <c:v>2253800000</c:v>
                </c:pt>
                <c:pt idx="6">
                  <c:v>4826686000</c:v>
                </c:pt>
                <c:pt idx="7">
                  <c:v>4231400000</c:v>
                </c:pt>
                <c:pt idx="8">
                  <c:v>3872000000</c:v>
                </c:pt>
                <c:pt idx="9">
                  <c:v>3664000000</c:v>
                </c:pt>
                <c:pt idx="10">
                  <c:v>5700950000</c:v>
                </c:pt>
                <c:pt idx="11">
                  <c:v>5541400000</c:v>
                </c:pt>
                <c:pt idx="12">
                  <c:v>5367200000</c:v>
                </c:pt>
                <c:pt idx="13">
                  <c:v>5186000000</c:v>
                </c:pt>
                <c:pt idx="14">
                  <c:v>6673863000</c:v>
                </c:pt>
                <c:pt idx="15">
                  <c:v>5945000000</c:v>
                </c:pt>
                <c:pt idx="16">
                  <c:v>5523000000</c:v>
                </c:pt>
                <c:pt idx="17">
                  <c:v>5509000000</c:v>
                </c:pt>
                <c:pt idx="18">
                  <c:v>8440000000</c:v>
                </c:pt>
                <c:pt idx="19">
                  <c:v>7286000000</c:v>
                </c:pt>
                <c:pt idx="20">
                  <c:v>6820000000</c:v>
                </c:pt>
                <c:pt idx="21">
                  <c:v>7842999999.999999</c:v>
                </c:pt>
                <c:pt idx="22">
                  <c:v>9019449999.9999981</c:v>
                </c:pt>
                <c:pt idx="23">
                  <c:v>10372367499.999996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F-4088-91A6-585B9A39EB1C}"/>
            </c:ext>
          </c:extLst>
        </c:ser>
        <c:ser>
          <c:idx val="1"/>
          <c:order val="1"/>
          <c:tx>
            <c:strRef>
              <c:f>Model!$G$1</c:f>
              <c:strCache>
                <c:ptCount val="1"/>
                <c:pt idx="0">
                  <c:v>NetIncome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Model!$A$2:$A$25</c:f>
              <c:numCache>
                <c:formatCode>General</c:formatCode>
                <c:ptCount val="2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</c:numCache>
            </c:numRef>
          </c:cat>
          <c:val>
            <c:numRef>
              <c:f>Model!$G$2:$G$25</c:f>
              <c:numCache>
                <c:formatCode>0.00,," B"</c:formatCode>
                <c:ptCount val="24"/>
                <c:pt idx="0">
                  <c:v>234014000</c:v>
                </c:pt>
                <c:pt idx="1">
                  <c:v>359997000</c:v>
                </c:pt>
                <c:pt idx="2">
                  <c:v>784577000</c:v>
                </c:pt>
                <c:pt idx="3">
                  <c:v>625160000</c:v>
                </c:pt>
                <c:pt idx="4">
                  <c:v>560095000</c:v>
                </c:pt>
                <c:pt idx="5">
                  <c:v>524364000</c:v>
                </c:pt>
                <c:pt idx="6">
                  <c:v>1038985000</c:v>
                </c:pt>
                <c:pt idx="7">
                  <c:v>915115000</c:v>
                </c:pt>
                <c:pt idx="8">
                  <c:v>787746000</c:v>
                </c:pt>
                <c:pt idx="9">
                  <c:v>871092000</c:v>
                </c:pt>
                <c:pt idx="10">
                  <c:v>1318853000</c:v>
                </c:pt>
                <c:pt idx="11">
                  <c:v>1177725000</c:v>
                </c:pt>
                <c:pt idx="12">
                  <c:v>1101382000</c:v>
                </c:pt>
                <c:pt idx="13">
                  <c:v>1139356000</c:v>
                </c:pt>
                <c:pt idx="14">
                  <c:v>1819550000</c:v>
                </c:pt>
                <c:pt idx="15">
                  <c:v>1599298000</c:v>
                </c:pt>
                <c:pt idx="16">
                  <c:v>1452983000</c:v>
                </c:pt>
                <c:pt idx="17">
                  <c:v>1350908000</c:v>
                </c:pt>
                <c:pt idx="18">
                  <c:v>2207000000</c:v>
                </c:pt>
                <c:pt idx="19">
                  <c:v>1828000000</c:v>
                </c:pt>
                <c:pt idx="20">
                  <c:v>1635000000</c:v>
                </c:pt>
                <c:pt idx="21">
                  <c:v>1349562500.0000002</c:v>
                </c:pt>
                <c:pt idx="22">
                  <c:v>1570146874.9999993</c:v>
                </c:pt>
                <c:pt idx="23">
                  <c:v>1823818906.25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F-4088-91A6-585B9A39E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015168"/>
        <c:axId val="1379016128"/>
      </c:lineChart>
      <c:catAx>
        <c:axId val="13790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16128"/>
        <c:crosses val="autoZero"/>
        <c:auto val="1"/>
        <c:lblAlgn val="ctr"/>
        <c:lblOffset val="100"/>
        <c:noMultiLvlLbl val="0"/>
      </c:catAx>
      <c:valAx>
        <c:axId val="13790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,&quot; 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Revenue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Model!$A$16:$A$25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cat>
          <c:val>
            <c:numRef>
              <c:f>Model!$B$16:$B$25</c:f>
              <c:numCache>
                <c:formatCode>0.00,," B"</c:formatCode>
                <c:ptCount val="10"/>
                <c:pt idx="0">
                  <c:v>6673863000</c:v>
                </c:pt>
                <c:pt idx="1">
                  <c:v>5945000000</c:v>
                </c:pt>
                <c:pt idx="2">
                  <c:v>5523000000</c:v>
                </c:pt>
                <c:pt idx="3">
                  <c:v>5509000000</c:v>
                </c:pt>
                <c:pt idx="4">
                  <c:v>8440000000</c:v>
                </c:pt>
                <c:pt idx="5">
                  <c:v>7286000000</c:v>
                </c:pt>
                <c:pt idx="6">
                  <c:v>6820000000</c:v>
                </c:pt>
                <c:pt idx="7">
                  <c:v>7842999999.999999</c:v>
                </c:pt>
                <c:pt idx="8">
                  <c:v>9019449999.9999981</c:v>
                </c:pt>
                <c:pt idx="9">
                  <c:v>10372367499.999996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4-4993-9F84-9AEC685CD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506736"/>
        <c:axId val="338507696"/>
      </c:lineChart>
      <c:catAx>
        <c:axId val="33850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07696"/>
        <c:crosses val="autoZero"/>
        <c:auto val="1"/>
        <c:lblAlgn val="ctr"/>
        <c:lblOffset val="100"/>
        <c:noMultiLvlLbl val="0"/>
      </c:catAx>
      <c:valAx>
        <c:axId val="3385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 B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0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Expense Breakdown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for Expense Breakd'!$B$6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'Bar Chart for Expense Breakd'!$A$7:$A$15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</c:numCache>
            </c:numRef>
          </c:cat>
          <c:val>
            <c:numRef>
              <c:f>'Bar Chart for Expense Breakd'!$B$7:$B$15</c:f>
              <c:numCache>
                <c:formatCode>0.00,," B"</c:formatCode>
                <c:ptCount val="9"/>
                <c:pt idx="0">
                  <c:v>2226000000</c:v>
                </c:pt>
                <c:pt idx="1">
                  <c:v>2108000000</c:v>
                </c:pt>
                <c:pt idx="2">
                  <c:v>2102000000</c:v>
                </c:pt>
                <c:pt idx="3">
                  <c:v>2946000000</c:v>
                </c:pt>
                <c:pt idx="4">
                  <c:v>2552000000</c:v>
                </c:pt>
                <c:pt idx="5">
                  <c:v>2467000000</c:v>
                </c:pt>
                <c:pt idx="6">
                  <c:v>4705799999.999999</c:v>
                </c:pt>
                <c:pt idx="7">
                  <c:v>5411669999.999999</c:v>
                </c:pt>
                <c:pt idx="8">
                  <c:v>6223420499.9999971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F-447D-AAFF-12B8E23F99ED}"/>
            </c:ext>
          </c:extLst>
        </c:ser>
        <c:ser>
          <c:idx val="1"/>
          <c:order val="1"/>
          <c:tx>
            <c:strRef>
              <c:f>'Bar Chart for Expense Breakd'!$C$6</c:f>
              <c:strCache>
                <c:ptCount val="1"/>
                <c:pt idx="0">
                  <c:v>OperatingExpenses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'Bar Chart for Expense Breakd'!$A$7:$A$15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</c:numCache>
            </c:numRef>
          </c:cat>
          <c:val>
            <c:numRef>
              <c:f>'Bar Chart for Expense Breakd'!$C$7:$C$15</c:f>
              <c:numCache>
                <c:formatCode>0.00,," B"</c:formatCode>
                <c:ptCount val="9"/>
                <c:pt idx="0">
                  <c:v>1645000000</c:v>
                </c:pt>
                <c:pt idx="1">
                  <c:v>1541000000</c:v>
                </c:pt>
                <c:pt idx="2">
                  <c:v>1523000000</c:v>
                </c:pt>
                <c:pt idx="3">
                  <c:v>2512000000</c:v>
                </c:pt>
                <c:pt idx="4">
                  <c:v>2187000000</c:v>
                </c:pt>
                <c:pt idx="5">
                  <c:v>1988000000</c:v>
                </c:pt>
                <c:pt idx="6">
                  <c:v>1176449999.9999998</c:v>
                </c:pt>
                <c:pt idx="7">
                  <c:v>1352917499.9999998</c:v>
                </c:pt>
                <c:pt idx="8">
                  <c:v>1555855124.9999993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F-447D-AAFF-12B8E23F9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627584"/>
        <c:axId val="598616064"/>
      </c:barChart>
      <c:catAx>
        <c:axId val="5986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16064"/>
        <c:crosses val="autoZero"/>
        <c:auto val="1"/>
        <c:lblAlgn val="ctr"/>
        <c:lblOffset val="100"/>
        <c:noMultiLvlLbl val="0"/>
      </c:catAx>
      <c:valAx>
        <c:axId val="5986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 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Model!$B$1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2">
                  <a:tint val="77000"/>
                </a:schemeClr>
              </a:solidFill>
            </a:ln>
            <a:effectLst>
              <a:glow rad="139700">
                <a:schemeClr val="accent2">
                  <a:tint val="77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Model!$A$2:$A$25</c:f>
              <c:numCache>
                <c:formatCode>General</c:formatCode>
                <c:ptCount val="2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</c:numCache>
            </c:numRef>
          </c:cat>
          <c:val>
            <c:numRef>
              <c:f>Model!$B$2:$B$25</c:f>
              <c:numCache>
                <c:formatCode>0.00,," B"</c:formatCode>
                <c:ptCount val="24"/>
                <c:pt idx="0">
                  <c:v>1919092000</c:v>
                </c:pt>
                <c:pt idx="1">
                  <c:v>1578456000</c:v>
                </c:pt>
                <c:pt idx="2">
                  <c:v>3205498000</c:v>
                </c:pt>
                <c:pt idx="3">
                  <c:v>2689700000</c:v>
                </c:pt>
                <c:pt idx="4">
                  <c:v>2456000000</c:v>
                </c:pt>
                <c:pt idx="5">
                  <c:v>2253800000</c:v>
                </c:pt>
                <c:pt idx="6">
                  <c:v>4826686000</c:v>
                </c:pt>
                <c:pt idx="7">
                  <c:v>4231400000</c:v>
                </c:pt>
                <c:pt idx="8">
                  <c:v>3872000000</c:v>
                </c:pt>
                <c:pt idx="9">
                  <c:v>3664000000</c:v>
                </c:pt>
                <c:pt idx="10">
                  <c:v>5700950000</c:v>
                </c:pt>
                <c:pt idx="11">
                  <c:v>5541400000</c:v>
                </c:pt>
                <c:pt idx="12">
                  <c:v>5367200000</c:v>
                </c:pt>
                <c:pt idx="13">
                  <c:v>5186000000</c:v>
                </c:pt>
                <c:pt idx="14">
                  <c:v>6673863000</c:v>
                </c:pt>
                <c:pt idx="15">
                  <c:v>5945000000</c:v>
                </c:pt>
                <c:pt idx="16">
                  <c:v>5523000000</c:v>
                </c:pt>
                <c:pt idx="17">
                  <c:v>5509000000</c:v>
                </c:pt>
                <c:pt idx="18">
                  <c:v>8440000000</c:v>
                </c:pt>
                <c:pt idx="19">
                  <c:v>7286000000</c:v>
                </c:pt>
                <c:pt idx="20">
                  <c:v>6820000000</c:v>
                </c:pt>
                <c:pt idx="21">
                  <c:v>7842999999.999999</c:v>
                </c:pt>
                <c:pt idx="22">
                  <c:v>9019449999.9999981</c:v>
                </c:pt>
                <c:pt idx="23">
                  <c:v>10372367499.999996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9-498A-ABB7-2445572F116B}"/>
            </c:ext>
          </c:extLst>
        </c:ser>
        <c:ser>
          <c:idx val="1"/>
          <c:order val="1"/>
          <c:tx>
            <c:strRef>
              <c:f>Model!$G$1</c:f>
              <c:strCache>
                <c:ptCount val="1"/>
                <c:pt idx="0">
                  <c:v>NetIncome</c:v>
                </c:pt>
              </c:strCache>
            </c:strRef>
          </c:tx>
          <c:spPr>
            <a:ln w="22225" cap="rnd">
              <a:solidFill>
                <a:schemeClr val="accent2">
                  <a:shade val="76000"/>
                </a:schemeClr>
              </a:solidFill>
            </a:ln>
            <a:effectLst>
              <a:glow rad="139700">
                <a:schemeClr val="accent2">
                  <a:shade val="76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Model!$A$2:$A$25</c:f>
              <c:numCache>
                <c:formatCode>General</c:formatCode>
                <c:ptCount val="2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</c:numCache>
            </c:numRef>
          </c:cat>
          <c:val>
            <c:numRef>
              <c:f>Model!$G$2:$G$25</c:f>
              <c:numCache>
                <c:formatCode>0.00,," B"</c:formatCode>
                <c:ptCount val="24"/>
                <c:pt idx="0">
                  <c:v>234014000</c:v>
                </c:pt>
                <c:pt idx="1">
                  <c:v>359997000</c:v>
                </c:pt>
                <c:pt idx="2">
                  <c:v>784577000</c:v>
                </c:pt>
                <c:pt idx="3">
                  <c:v>625160000</c:v>
                </c:pt>
                <c:pt idx="4">
                  <c:v>560095000</c:v>
                </c:pt>
                <c:pt idx="5">
                  <c:v>524364000</c:v>
                </c:pt>
                <c:pt idx="6">
                  <c:v>1038985000</c:v>
                </c:pt>
                <c:pt idx="7">
                  <c:v>915115000</c:v>
                </c:pt>
                <c:pt idx="8">
                  <c:v>787746000</c:v>
                </c:pt>
                <c:pt idx="9">
                  <c:v>871092000</c:v>
                </c:pt>
                <c:pt idx="10">
                  <c:v>1318853000</c:v>
                </c:pt>
                <c:pt idx="11">
                  <c:v>1177725000</c:v>
                </c:pt>
                <c:pt idx="12">
                  <c:v>1101382000</c:v>
                </c:pt>
                <c:pt idx="13">
                  <c:v>1139356000</c:v>
                </c:pt>
                <c:pt idx="14">
                  <c:v>1819550000</c:v>
                </c:pt>
                <c:pt idx="15">
                  <c:v>1599298000</c:v>
                </c:pt>
                <c:pt idx="16">
                  <c:v>1452983000</c:v>
                </c:pt>
                <c:pt idx="17">
                  <c:v>1350908000</c:v>
                </c:pt>
                <c:pt idx="18">
                  <c:v>2207000000</c:v>
                </c:pt>
                <c:pt idx="19">
                  <c:v>1828000000</c:v>
                </c:pt>
                <c:pt idx="20">
                  <c:v>1635000000</c:v>
                </c:pt>
                <c:pt idx="21">
                  <c:v>1349562500.0000002</c:v>
                </c:pt>
                <c:pt idx="22">
                  <c:v>1570146874.9999993</c:v>
                </c:pt>
                <c:pt idx="23">
                  <c:v>1823818906.25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9-498A-ABB7-2445572F1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015168"/>
        <c:axId val="1379016128"/>
      </c:lineChart>
      <c:catAx>
        <c:axId val="1379015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16128"/>
        <c:crosses val="autoZero"/>
        <c:auto val="1"/>
        <c:lblAlgn val="ctr"/>
        <c:lblOffset val="100"/>
        <c:noMultiLvlLbl val="0"/>
      </c:catAx>
      <c:valAx>
        <c:axId val="1379016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,,&quot; 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Revenue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Model!$A$16:$A$25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cat>
          <c:val>
            <c:numRef>
              <c:f>Model!$B$16:$B$25</c:f>
              <c:numCache>
                <c:formatCode>0.00,," B"</c:formatCode>
                <c:ptCount val="10"/>
                <c:pt idx="0">
                  <c:v>6673863000</c:v>
                </c:pt>
                <c:pt idx="1">
                  <c:v>5945000000</c:v>
                </c:pt>
                <c:pt idx="2">
                  <c:v>5523000000</c:v>
                </c:pt>
                <c:pt idx="3">
                  <c:v>5509000000</c:v>
                </c:pt>
                <c:pt idx="4">
                  <c:v>8440000000</c:v>
                </c:pt>
                <c:pt idx="5">
                  <c:v>7286000000</c:v>
                </c:pt>
                <c:pt idx="6">
                  <c:v>6820000000</c:v>
                </c:pt>
                <c:pt idx="7">
                  <c:v>7842999999.999999</c:v>
                </c:pt>
                <c:pt idx="8">
                  <c:v>9019449999.9999981</c:v>
                </c:pt>
                <c:pt idx="9">
                  <c:v>10372367499.999996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7-495F-84DB-D2E8AA235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506736"/>
        <c:axId val="338507696"/>
      </c:lineChart>
      <c:catAx>
        <c:axId val="33850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07696"/>
        <c:crosses val="autoZero"/>
        <c:auto val="1"/>
        <c:lblAlgn val="ctr"/>
        <c:lblOffset val="100"/>
        <c:noMultiLvlLbl val="0"/>
      </c:catAx>
      <c:valAx>
        <c:axId val="3385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 B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0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Expense Breakdown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 for Expense Breakd'!$B$6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'Bar Chart for Expense Breakd'!$A$7:$A$15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</c:numCache>
            </c:numRef>
          </c:cat>
          <c:val>
            <c:numRef>
              <c:f>'Bar Chart for Expense Breakd'!$B$7:$B$15</c:f>
              <c:numCache>
                <c:formatCode>0.00,," B"</c:formatCode>
                <c:ptCount val="9"/>
                <c:pt idx="0">
                  <c:v>2226000000</c:v>
                </c:pt>
                <c:pt idx="1">
                  <c:v>2108000000</c:v>
                </c:pt>
                <c:pt idx="2">
                  <c:v>2102000000</c:v>
                </c:pt>
                <c:pt idx="3">
                  <c:v>2946000000</c:v>
                </c:pt>
                <c:pt idx="4">
                  <c:v>2552000000</c:v>
                </c:pt>
                <c:pt idx="5">
                  <c:v>2467000000</c:v>
                </c:pt>
                <c:pt idx="6">
                  <c:v>4705799999.999999</c:v>
                </c:pt>
                <c:pt idx="7">
                  <c:v>5411669999.999999</c:v>
                </c:pt>
                <c:pt idx="8">
                  <c:v>6223420499.9999971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5-49FB-9804-46503630D1C9}"/>
            </c:ext>
          </c:extLst>
        </c:ser>
        <c:ser>
          <c:idx val="1"/>
          <c:order val="1"/>
          <c:tx>
            <c:strRef>
              <c:f>'Bar Chart for Expense Breakd'!$C$6</c:f>
              <c:strCache>
                <c:ptCount val="1"/>
                <c:pt idx="0">
                  <c:v>OperatingExpenses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'Bar Chart for Expense Breakd'!$A$7:$A$15</c:f>
              <c:numCache>
                <c:formatCode>General</c:formatCod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</c:numCache>
            </c:numRef>
          </c:cat>
          <c:val>
            <c:numRef>
              <c:f>'Bar Chart for Expense Breakd'!$C$7:$C$15</c:f>
              <c:numCache>
                <c:formatCode>0.00,," B"</c:formatCode>
                <c:ptCount val="9"/>
                <c:pt idx="0">
                  <c:v>1645000000</c:v>
                </c:pt>
                <c:pt idx="1">
                  <c:v>1541000000</c:v>
                </c:pt>
                <c:pt idx="2">
                  <c:v>1523000000</c:v>
                </c:pt>
                <c:pt idx="3">
                  <c:v>2512000000</c:v>
                </c:pt>
                <c:pt idx="4">
                  <c:v>2187000000</c:v>
                </c:pt>
                <c:pt idx="5">
                  <c:v>1988000000</c:v>
                </c:pt>
                <c:pt idx="6">
                  <c:v>1176449999.9999998</c:v>
                </c:pt>
                <c:pt idx="7">
                  <c:v>1352917499.9999998</c:v>
                </c:pt>
                <c:pt idx="8">
                  <c:v>1555855124.9999993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5-49FB-9804-46503630D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627584"/>
        <c:axId val="598616064"/>
      </c:barChart>
      <c:catAx>
        <c:axId val="5986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16064"/>
        <c:crosses val="autoZero"/>
        <c:auto val="1"/>
        <c:lblAlgn val="ctr"/>
        <c:lblOffset val="100"/>
        <c:noMultiLvlLbl val="0"/>
      </c:catAx>
      <c:valAx>
        <c:axId val="5986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 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7003499562555"/>
          <c:y val="5.0925925925925923E-2"/>
          <c:w val="0.84091885389326326"/>
          <c:h val="0.70255395158938461"/>
        </c:manualLayout>
      </c:layout>
      <c:lineChart>
        <c:grouping val="standard"/>
        <c:varyColors val="0"/>
        <c:ser>
          <c:idx val="0"/>
          <c:order val="0"/>
          <c:tx>
            <c:strRef>
              <c:f>Model!$B$1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Model!$A$2:$A$25</c:f>
              <c:numCache>
                <c:formatCode>General</c:formatCode>
                <c:ptCount val="2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</c:numCache>
            </c:numRef>
          </c:cat>
          <c:val>
            <c:numRef>
              <c:f>Model!$B$2:$B$25</c:f>
              <c:numCache>
                <c:formatCode>0.00,," B"</c:formatCode>
                <c:ptCount val="24"/>
                <c:pt idx="0">
                  <c:v>1919092000</c:v>
                </c:pt>
                <c:pt idx="1">
                  <c:v>1578456000</c:v>
                </c:pt>
                <c:pt idx="2">
                  <c:v>3205498000</c:v>
                </c:pt>
                <c:pt idx="3">
                  <c:v>2689700000</c:v>
                </c:pt>
                <c:pt idx="4">
                  <c:v>2456000000</c:v>
                </c:pt>
                <c:pt idx="5">
                  <c:v>2253800000</c:v>
                </c:pt>
                <c:pt idx="6">
                  <c:v>4826686000</c:v>
                </c:pt>
                <c:pt idx="7">
                  <c:v>4231400000</c:v>
                </c:pt>
                <c:pt idx="8">
                  <c:v>3872000000</c:v>
                </c:pt>
                <c:pt idx="9">
                  <c:v>3664000000</c:v>
                </c:pt>
                <c:pt idx="10">
                  <c:v>5700950000</c:v>
                </c:pt>
                <c:pt idx="11">
                  <c:v>5541400000</c:v>
                </c:pt>
                <c:pt idx="12">
                  <c:v>5367200000</c:v>
                </c:pt>
                <c:pt idx="13">
                  <c:v>5186000000</c:v>
                </c:pt>
                <c:pt idx="14">
                  <c:v>6673863000</c:v>
                </c:pt>
                <c:pt idx="15">
                  <c:v>5945000000</c:v>
                </c:pt>
                <c:pt idx="16">
                  <c:v>5523000000</c:v>
                </c:pt>
                <c:pt idx="17">
                  <c:v>5509000000</c:v>
                </c:pt>
                <c:pt idx="18">
                  <c:v>8440000000</c:v>
                </c:pt>
                <c:pt idx="19">
                  <c:v>7286000000</c:v>
                </c:pt>
                <c:pt idx="20">
                  <c:v>6820000000</c:v>
                </c:pt>
                <c:pt idx="21">
                  <c:v>7842999999.999999</c:v>
                </c:pt>
                <c:pt idx="22">
                  <c:v>9019449999.9999981</c:v>
                </c:pt>
                <c:pt idx="23">
                  <c:v>10372367499.999996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2-4CF8-A69D-D759DD07880F}"/>
            </c:ext>
          </c:extLst>
        </c:ser>
        <c:ser>
          <c:idx val="1"/>
          <c:order val="1"/>
          <c:tx>
            <c:strRef>
              <c:f>Model!$G$1</c:f>
              <c:strCache>
                <c:ptCount val="1"/>
                <c:pt idx="0">
                  <c:v>NetIncome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Model!$A$2:$A$25</c:f>
              <c:numCache>
                <c:formatCode>General</c:formatCode>
                <c:ptCount val="2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</c:numCache>
            </c:numRef>
          </c:cat>
          <c:val>
            <c:numRef>
              <c:f>Model!$G$2:$G$25</c:f>
              <c:numCache>
                <c:formatCode>0.00,," B"</c:formatCode>
                <c:ptCount val="24"/>
                <c:pt idx="0">
                  <c:v>234014000</c:v>
                </c:pt>
                <c:pt idx="1">
                  <c:v>359997000</c:v>
                </c:pt>
                <c:pt idx="2">
                  <c:v>784577000</c:v>
                </c:pt>
                <c:pt idx="3">
                  <c:v>625160000</c:v>
                </c:pt>
                <c:pt idx="4">
                  <c:v>560095000</c:v>
                </c:pt>
                <c:pt idx="5">
                  <c:v>524364000</c:v>
                </c:pt>
                <c:pt idx="6">
                  <c:v>1038985000</c:v>
                </c:pt>
                <c:pt idx="7">
                  <c:v>915115000</c:v>
                </c:pt>
                <c:pt idx="8">
                  <c:v>787746000</c:v>
                </c:pt>
                <c:pt idx="9">
                  <c:v>871092000</c:v>
                </c:pt>
                <c:pt idx="10">
                  <c:v>1318853000</c:v>
                </c:pt>
                <c:pt idx="11">
                  <c:v>1177725000</c:v>
                </c:pt>
                <c:pt idx="12">
                  <c:v>1101382000</c:v>
                </c:pt>
                <c:pt idx="13">
                  <c:v>1139356000</c:v>
                </c:pt>
                <c:pt idx="14">
                  <c:v>1819550000</c:v>
                </c:pt>
                <c:pt idx="15">
                  <c:v>1599298000</c:v>
                </c:pt>
                <c:pt idx="16">
                  <c:v>1452983000</c:v>
                </c:pt>
                <c:pt idx="17">
                  <c:v>1350908000</c:v>
                </c:pt>
                <c:pt idx="18">
                  <c:v>2207000000</c:v>
                </c:pt>
                <c:pt idx="19">
                  <c:v>1828000000</c:v>
                </c:pt>
                <c:pt idx="20">
                  <c:v>1635000000</c:v>
                </c:pt>
                <c:pt idx="21">
                  <c:v>1349562500.0000002</c:v>
                </c:pt>
                <c:pt idx="22">
                  <c:v>1570146874.9999993</c:v>
                </c:pt>
                <c:pt idx="23">
                  <c:v>1823818906.25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2-4CF8-A69D-D759DD078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015168"/>
        <c:axId val="1379016128"/>
      </c:lineChart>
      <c:catAx>
        <c:axId val="13790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16128"/>
        <c:crosses val="autoZero"/>
        <c:auto val="1"/>
        <c:lblAlgn val="ctr"/>
        <c:lblOffset val="100"/>
        <c:noMultiLvlLbl val="0"/>
      </c:catAx>
      <c:valAx>
        <c:axId val="13790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,&quot; 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0</xdr:row>
      <xdr:rowOff>114300</xdr:rowOff>
    </xdr:from>
    <xdr:to>
      <xdr:col>14</xdr:col>
      <xdr:colOff>525780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FCA03-B3A7-6856-74BA-123FE62B0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167640</xdr:rowOff>
    </xdr:from>
    <xdr:to>
      <xdr:col>9</xdr:col>
      <xdr:colOff>236220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2586A-A38E-449E-96F3-110D5CC97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1</xdr:row>
      <xdr:rowOff>95250</xdr:rowOff>
    </xdr:from>
    <xdr:to>
      <xdr:col>12</xdr:col>
      <xdr:colOff>182880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ABDEA-EAFD-493B-AAEE-62C1820F6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1</xdr:row>
      <xdr:rowOff>144780</xdr:rowOff>
    </xdr:from>
    <xdr:to>
      <xdr:col>8</xdr:col>
      <xdr:colOff>457200</xdr:colOff>
      <xdr:row>5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CCE2C1-777B-46B3-FD44-6D8127DD78BE}"/>
            </a:ext>
          </a:extLst>
        </xdr:cNvPr>
        <xdr:cNvSpPr txBox="1"/>
      </xdr:nvSpPr>
      <xdr:spPr>
        <a:xfrm>
          <a:off x="2773680" y="327660"/>
          <a:ext cx="319278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>
              <a:solidFill>
                <a:schemeClr val="accent6">
                  <a:lumMod val="50000"/>
                </a:schemeClr>
              </a:solidFill>
            </a:rPr>
            <a:t>Change “Revenue Growth %” ,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COGS % of Revenue</a:t>
          </a:r>
          <a:r>
            <a:rPr lang="en-IN">
              <a:effectLst/>
            </a:rPr>
            <a:t> ,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OpEx % of Revenue</a:t>
          </a:r>
          <a:r>
            <a:rPr lang="en-IN">
              <a:effectLst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IN">
              <a:effectLst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 Rate</a:t>
          </a:r>
          <a:r>
            <a:rPr lang="en-IN">
              <a:effectLst/>
            </a:rPr>
            <a:t> </a:t>
          </a:r>
          <a:r>
            <a:rPr lang="en-IN" b="1">
              <a:solidFill>
                <a:schemeClr val="accent6">
                  <a:lumMod val="50000"/>
                </a:schemeClr>
              </a:solidFill>
            </a:rPr>
            <a:t>in the Assumptions sheet — all forecasted rows should instantly update in Model sheet.</a:t>
          </a:r>
        </a:p>
        <a:p>
          <a:endParaRPr lang="en-IN" sz="1100"/>
        </a:p>
      </xdr:txBody>
    </xdr:sp>
    <xdr:clientData/>
  </xdr:twoCellAnchor>
  <xdr:twoCellAnchor>
    <xdr:from>
      <xdr:col>0</xdr:col>
      <xdr:colOff>243840</xdr:colOff>
      <xdr:row>7</xdr:row>
      <xdr:rowOff>137160</xdr:rowOff>
    </xdr:from>
    <xdr:to>
      <xdr:col>6</xdr:col>
      <xdr:colOff>525780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807E42-D115-4749-ADDF-964699F19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106680</xdr:rowOff>
    </xdr:from>
    <xdr:to>
      <xdr:col>8</xdr:col>
      <xdr:colOff>708660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FA03475-7E9C-154B-8D45-9B002BD1F793}"/>
            </a:ext>
          </a:extLst>
        </xdr:cNvPr>
        <xdr:cNvCxnSpPr/>
      </xdr:nvCxnSpPr>
      <xdr:spPr>
        <a:xfrm flipV="1">
          <a:off x="5372100" y="1021080"/>
          <a:ext cx="1463040" cy="449580"/>
        </a:xfrm>
        <a:prstGeom prst="straightConnector1">
          <a:avLst/>
        </a:prstGeom>
        <a:ln w="19050" cap="flat" cmpd="sng" algn="ctr">
          <a:solidFill>
            <a:schemeClr val="accent3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281940</xdr:colOff>
      <xdr:row>0</xdr:row>
      <xdr:rowOff>175260</xdr:rowOff>
    </xdr:from>
    <xdr:to>
      <xdr:col>6</xdr:col>
      <xdr:colOff>15239</xdr:colOff>
      <xdr:row>1</xdr:row>
      <xdr:rowOff>38099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FB22CC-35EF-7E9F-B254-75B55870BAF9}"/>
            </a:ext>
          </a:extLst>
        </xdr:cNvPr>
        <xdr:cNvSpPr txBox="1"/>
      </xdr:nvSpPr>
      <xdr:spPr>
        <a:xfrm>
          <a:off x="4015740" y="175260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</xdr:col>
      <xdr:colOff>76200</xdr:colOff>
      <xdr:row>5</xdr:row>
      <xdr:rowOff>22860</xdr:rowOff>
    </xdr:from>
    <xdr:to>
      <xdr:col>3</xdr:col>
      <xdr:colOff>762000</xdr:colOff>
      <xdr:row>12</xdr:row>
      <xdr:rowOff>45720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EFA558-D8BB-DF3F-8826-EE27A1A3CE06}"/>
            </a:ext>
          </a:extLst>
        </xdr:cNvPr>
        <xdr:cNvSpPr txBox="1"/>
      </xdr:nvSpPr>
      <xdr:spPr>
        <a:xfrm>
          <a:off x="419100" y="937260"/>
          <a:ext cx="198882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Change “Revenue Growth %” ,</a:t>
          </a: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COGS % of Revenue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,</a:t>
          </a: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OpEx % of Revenue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 Rate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Assumptions sheet — all forecasted rows should instantly update in Model sheet.</a:t>
          </a:r>
          <a:endParaRPr lang="en-IN">
            <a:effectLst/>
          </a:endParaRPr>
        </a:p>
        <a:p>
          <a:endParaRPr lang="en-IN" sz="1100" b="1">
            <a:solidFill>
              <a:schemeClr val="accent6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38100</xdr:colOff>
      <xdr:row>16</xdr:row>
      <xdr:rowOff>167640</xdr:rowOff>
    </xdr:from>
    <xdr:to>
      <xdr:col>7</xdr:col>
      <xdr:colOff>0</xdr:colOff>
      <xdr:row>18</xdr:row>
      <xdr:rowOff>38100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9A3E1E1-DDAF-AF55-3986-33B8874C4026}"/>
            </a:ext>
          </a:extLst>
        </xdr:cNvPr>
        <xdr:cNvCxnSpPr/>
      </xdr:nvCxnSpPr>
      <xdr:spPr>
        <a:xfrm flipV="1">
          <a:off x="3771900" y="3093720"/>
          <a:ext cx="121158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647700</xdr:colOff>
      <xdr:row>22</xdr:row>
      <xdr:rowOff>60960</xdr:rowOff>
    </xdr:from>
    <xdr:to>
      <xdr:col>10</xdr:col>
      <xdr:colOff>739140</xdr:colOff>
      <xdr:row>26</xdr:row>
      <xdr:rowOff>106680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B8B78F7-CC64-4F17-EA61-0B27A336693C}"/>
            </a:ext>
          </a:extLst>
        </xdr:cNvPr>
        <xdr:cNvCxnSpPr/>
      </xdr:nvCxnSpPr>
      <xdr:spPr>
        <a:xfrm flipV="1">
          <a:off x="6385560" y="4130040"/>
          <a:ext cx="1569720" cy="7772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594360</xdr:colOff>
      <xdr:row>0</xdr:row>
      <xdr:rowOff>76200</xdr:rowOff>
    </xdr:from>
    <xdr:to>
      <xdr:col>20</xdr:col>
      <xdr:colOff>22860</xdr:colOff>
      <xdr:row>13</xdr:row>
      <xdr:rowOff>83820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454096E-6BC0-4C44-9069-FC9827981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632460</xdr:colOff>
      <xdr:row>15</xdr:row>
      <xdr:rowOff>7620</xdr:rowOff>
    </xdr:from>
    <xdr:to>
      <xdr:col>20</xdr:col>
      <xdr:colOff>0</xdr:colOff>
      <xdr:row>27</xdr:row>
      <xdr:rowOff>106680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74B9FF6-EC73-46EF-ABF0-E70916A33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624840</xdr:colOff>
      <xdr:row>29</xdr:row>
      <xdr:rowOff>76200</xdr:rowOff>
    </xdr:from>
    <xdr:to>
      <xdr:col>19</xdr:col>
      <xdr:colOff>601980</xdr:colOff>
      <xdr:row>44</xdr:row>
      <xdr:rowOff>68580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BCDA6CC-6385-4463-9EB8-D7A4DA220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D162-D5F0-4A61-9D84-6FDDE4701A52}">
  <dimension ref="A1:G22"/>
  <sheetViews>
    <sheetView workbookViewId="0">
      <selection activeCell="N20" sqref="N20"/>
    </sheetView>
  </sheetViews>
  <sheetFormatPr defaultRowHeight="14.4" x14ac:dyDescent="0.3"/>
  <cols>
    <col min="2" max="3" width="11" bestFit="1" customWidth="1"/>
    <col min="4" max="4" width="16.5546875" bestFit="1" customWidth="1"/>
    <col min="5" max="5" width="13.88671875" bestFit="1" customWidth="1"/>
    <col min="6" max="6" width="10" bestFit="1" customWidth="1"/>
    <col min="7" max="7" width="11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2005</v>
      </c>
      <c r="B2">
        <v>1919092000</v>
      </c>
      <c r="C2">
        <v>775381000</v>
      </c>
      <c r="D2">
        <v>574072000</v>
      </c>
      <c r="E2">
        <v>68000000</v>
      </c>
      <c r="F2">
        <v>267625000</v>
      </c>
      <c r="G2">
        <f xml:space="preserve"> B2 - C2 - D2 - E2 - F2</f>
        <v>234014000</v>
      </c>
    </row>
    <row r="3" spans="1:7" x14ac:dyDescent="0.3">
      <c r="A3">
        <v>2006</v>
      </c>
      <c r="B3">
        <v>1578456000</v>
      </c>
      <c r="C3">
        <v>655154000</v>
      </c>
      <c r="D3">
        <v>394131000</v>
      </c>
      <c r="E3">
        <v>388000</v>
      </c>
      <c r="F3">
        <v>168786000</v>
      </c>
      <c r="G3">
        <f t="shared" ref="G3:G22" si="0" xml:space="preserve"> B3 - C3 - D3 - E3 - F3</f>
        <v>359997000</v>
      </c>
    </row>
    <row r="4" spans="1:7" x14ac:dyDescent="0.3">
      <c r="A4">
        <v>2007</v>
      </c>
      <c r="B4">
        <v>3205498000</v>
      </c>
      <c r="C4">
        <v>1283148000</v>
      </c>
      <c r="D4">
        <v>861756000</v>
      </c>
      <c r="E4">
        <v>122000000</v>
      </c>
      <c r="F4">
        <v>154017000</v>
      </c>
      <c r="G4">
        <f t="shared" si="0"/>
        <v>784577000</v>
      </c>
    </row>
    <row r="5" spans="1:7" x14ac:dyDescent="0.3">
      <c r="A5">
        <v>2008</v>
      </c>
      <c r="B5">
        <v>2689700000</v>
      </c>
      <c r="C5">
        <v>1048728000</v>
      </c>
      <c r="D5">
        <v>709641000</v>
      </c>
      <c r="E5">
        <v>21000</v>
      </c>
      <c r="F5">
        <v>306150000</v>
      </c>
      <c r="G5">
        <f t="shared" si="0"/>
        <v>625160000</v>
      </c>
    </row>
    <row r="6" spans="1:7" x14ac:dyDescent="0.3">
      <c r="A6">
        <v>2009</v>
      </c>
      <c r="B6">
        <v>2456000000</v>
      </c>
      <c r="C6">
        <v>989032000</v>
      </c>
      <c r="D6">
        <v>651596000</v>
      </c>
      <c r="E6">
        <v>177000</v>
      </c>
      <c r="F6">
        <v>255100000</v>
      </c>
      <c r="G6">
        <f t="shared" si="0"/>
        <v>560095000</v>
      </c>
    </row>
    <row r="7" spans="1:7" x14ac:dyDescent="0.3">
      <c r="A7">
        <v>2010</v>
      </c>
      <c r="B7">
        <v>2253800000</v>
      </c>
      <c r="C7">
        <v>904119000</v>
      </c>
      <c r="D7">
        <v>606982000</v>
      </c>
      <c r="E7">
        <v>8000</v>
      </c>
      <c r="F7">
        <v>218327000</v>
      </c>
      <c r="G7">
        <f t="shared" si="0"/>
        <v>524364000</v>
      </c>
    </row>
    <row r="8" spans="1:7" x14ac:dyDescent="0.3">
      <c r="A8">
        <v>2011</v>
      </c>
      <c r="B8">
        <v>4826686000</v>
      </c>
      <c r="C8">
        <v>1955824000</v>
      </c>
      <c r="D8">
        <v>1430128000</v>
      </c>
      <c r="E8">
        <v>171000</v>
      </c>
      <c r="F8">
        <v>401578000</v>
      </c>
      <c r="G8">
        <f t="shared" si="0"/>
        <v>1038985000</v>
      </c>
    </row>
    <row r="9" spans="1:7" x14ac:dyDescent="0.3">
      <c r="A9">
        <v>2012</v>
      </c>
      <c r="B9">
        <v>4231400000</v>
      </c>
      <c r="C9">
        <v>1662579000</v>
      </c>
      <c r="D9">
        <v>1250979000</v>
      </c>
      <c r="E9">
        <v>446000</v>
      </c>
      <c r="F9">
        <v>402281000</v>
      </c>
      <c r="G9">
        <f t="shared" si="0"/>
        <v>915115000</v>
      </c>
    </row>
    <row r="10" spans="1:7" x14ac:dyDescent="0.3">
      <c r="A10">
        <v>2013</v>
      </c>
      <c r="B10">
        <v>3872000000</v>
      </c>
      <c r="C10">
        <v>1560255000</v>
      </c>
      <c r="D10">
        <v>1207130000</v>
      </c>
      <c r="E10">
        <v>244000</v>
      </c>
      <c r="F10">
        <v>316625000</v>
      </c>
      <c r="G10">
        <f t="shared" si="0"/>
        <v>787746000</v>
      </c>
    </row>
    <row r="11" spans="1:7" x14ac:dyDescent="0.3">
      <c r="A11">
        <v>2014</v>
      </c>
      <c r="B11">
        <v>3664000000</v>
      </c>
      <c r="C11">
        <v>1470426000</v>
      </c>
      <c r="D11">
        <v>972365000</v>
      </c>
      <c r="E11">
        <v>342000</v>
      </c>
      <c r="F11">
        <v>349775000</v>
      </c>
      <c r="G11">
        <f t="shared" si="0"/>
        <v>871092000</v>
      </c>
    </row>
    <row r="12" spans="1:7" x14ac:dyDescent="0.3">
      <c r="A12">
        <v>2015</v>
      </c>
      <c r="B12">
        <v>5700950000</v>
      </c>
      <c r="C12">
        <v>2190005000</v>
      </c>
      <c r="D12">
        <v>1650740000</v>
      </c>
      <c r="E12">
        <v>88447000</v>
      </c>
      <c r="F12">
        <v>452905000</v>
      </c>
      <c r="G12">
        <f t="shared" si="0"/>
        <v>1318853000</v>
      </c>
    </row>
    <row r="13" spans="1:7" x14ac:dyDescent="0.3">
      <c r="A13">
        <v>2016</v>
      </c>
      <c r="B13">
        <v>5541400000</v>
      </c>
      <c r="C13">
        <v>2173390000</v>
      </c>
      <c r="D13">
        <v>1720445000</v>
      </c>
      <c r="E13">
        <v>90996000</v>
      </c>
      <c r="F13">
        <v>378844000</v>
      </c>
      <c r="G13">
        <f t="shared" si="0"/>
        <v>1177725000</v>
      </c>
    </row>
    <row r="14" spans="1:7" x14ac:dyDescent="0.3">
      <c r="A14">
        <v>2017</v>
      </c>
      <c r="B14">
        <v>5367200000</v>
      </c>
      <c r="C14">
        <v>2147575000</v>
      </c>
      <c r="D14">
        <v>1641660000</v>
      </c>
      <c r="E14">
        <v>88086000</v>
      </c>
      <c r="F14">
        <v>388497000</v>
      </c>
      <c r="G14">
        <f t="shared" si="0"/>
        <v>1101382000</v>
      </c>
    </row>
    <row r="15" spans="1:7" x14ac:dyDescent="0.3">
      <c r="A15">
        <v>2018</v>
      </c>
      <c r="B15">
        <v>5186000000</v>
      </c>
      <c r="C15">
        <v>2110536000</v>
      </c>
      <c r="D15">
        <v>1529229000</v>
      </c>
      <c r="E15">
        <v>387000</v>
      </c>
      <c r="F15">
        <v>406492000</v>
      </c>
      <c r="G15">
        <f t="shared" si="0"/>
        <v>1139356000</v>
      </c>
    </row>
    <row r="16" spans="1:7" x14ac:dyDescent="0.3">
      <c r="A16">
        <v>2019</v>
      </c>
      <c r="B16">
        <v>6673863000</v>
      </c>
      <c r="C16">
        <v>2408400000</v>
      </c>
      <c r="D16">
        <v>1784480000</v>
      </c>
      <c r="E16">
        <v>66862000</v>
      </c>
      <c r="F16">
        <v>594571000</v>
      </c>
      <c r="G16">
        <f t="shared" si="0"/>
        <v>1819550000</v>
      </c>
    </row>
    <row r="17" spans="1:7" x14ac:dyDescent="0.3">
      <c r="A17">
        <v>2020</v>
      </c>
      <c r="B17">
        <v>5945000000</v>
      </c>
      <c r="C17">
        <v>2226000000</v>
      </c>
      <c r="D17">
        <v>1645000000</v>
      </c>
      <c r="E17">
        <v>46702000</v>
      </c>
      <c r="F17">
        <v>428000000</v>
      </c>
      <c r="G17">
        <f t="shared" si="0"/>
        <v>1599298000</v>
      </c>
    </row>
    <row r="18" spans="1:7" x14ac:dyDescent="0.3">
      <c r="A18">
        <v>2021</v>
      </c>
      <c r="B18">
        <v>5523000000</v>
      </c>
      <c r="C18">
        <v>2108000000</v>
      </c>
      <c r="D18">
        <v>1541000000</v>
      </c>
      <c r="E18">
        <v>50017000</v>
      </c>
      <c r="F18">
        <v>371000000</v>
      </c>
      <c r="G18">
        <f t="shared" si="0"/>
        <v>1452983000</v>
      </c>
    </row>
    <row r="19" spans="1:7" x14ac:dyDescent="0.3">
      <c r="A19">
        <v>2022</v>
      </c>
      <c r="B19">
        <v>5509000000</v>
      </c>
      <c r="C19">
        <v>2102000000</v>
      </c>
      <c r="D19">
        <v>1523000000</v>
      </c>
      <c r="E19">
        <v>66092000</v>
      </c>
      <c r="F19">
        <v>467000000</v>
      </c>
      <c r="G19">
        <f t="shared" si="0"/>
        <v>1350908000</v>
      </c>
    </row>
    <row r="20" spans="1:7" x14ac:dyDescent="0.3">
      <c r="A20">
        <v>2023</v>
      </c>
      <c r="B20">
        <v>8440000000</v>
      </c>
      <c r="C20">
        <v>2946000000</v>
      </c>
      <c r="D20">
        <v>2512000000</v>
      </c>
      <c r="E20">
        <v>176000000</v>
      </c>
      <c r="F20">
        <v>599000000</v>
      </c>
      <c r="G20">
        <f t="shared" si="0"/>
        <v>2207000000</v>
      </c>
    </row>
    <row r="21" spans="1:7" x14ac:dyDescent="0.3">
      <c r="A21">
        <v>2024</v>
      </c>
      <c r="B21">
        <v>7286000000</v>
      </c>
      <c r="C21">
        <v>2552000000</v>
      </c>
      <c r="D21">
        <v>2187000000</v>
      </c>
      <c r="E21">
        <v>172000000</v>
      </c>
      <c r="F21">
        <v>547000000</v>
      </c>
      <c r="G21">
        <f t="shared" si="0"/>
        <v>1828000000</v>
      </c>
    </row>
    <row r="22" spans="1:7" x14ac:dyDescent="0.3">
      <c r="A22">
        <v>2025</v>
      </c>
      <c r="B22">
        <v>6820000000</v>
      </c>
      <c r="C22">
        <v>2467000000</v>
      </c>
      <c r="D22">
        <v>1988000000</v>
      </c>
      <c r="E22">
        <v>136000000</v>
      </c>
      <c r="F22">
        <v>594000000</v>
      </c>
      <c r="G22">
        <f t="shared" si="0"/>
        <v>1635000000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75CF-446C-4993-BF8C-9C0D3A277FB3}">
  <dimension ref="A1:Q81"/>
  <sheetViews>
    <sheetView workbookViewId="0">
      <selection activeCell="R13" sqref="R13"/>
    </sheetView>
  </sheetViews>
  <sheetFormatPr defaultRowHeight="14.4" x14ac:dyDescent="0.3"/>
  <cols>
    <col min="2" max="3" width="12.33203125" bestFit="1" customWidth="1"/>
    <col min="4" max="4" width="16.6640625" bestFit="1" customWidth="1"/>
    <col min="5" max="5" width="14" bestFit="1" customWidth="1"/>
    <col min="6" max="6" width="12.109375" bestFit="1" customWidth="1"/>
    <col min="7" max="7" width="12.77734375" customWidth="1"/>
    <col min="15" max="17" width="13.664062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2005</v>
      </c>
      <c r="B2" s="4">
        <v>1919092000</v>
      </c>
      <c r="C2" s="4">
        <v>775381000</v>
      </c>
      <c r="D2" s="4">
        <v>574072000</v>
      </c>
      <c r="E2" s="4">
        <v>68000000</v>
      </c>
      <c r="F2" s="4">
        <v>267625000</v>
      </c>
      <c r="G2" s="4">
        <f xml:space="preserve"> B2 - C2 - D2 - E2 - F2</f>
        <v>234014000</v>
      </c>
    </row>
    <row r="3" spans="1:7" x14ac:dyDescent="0.3">
      <c r="A3">
        <v>2006</v>
      </c>
      <c r="B3" s="4">
        <v>1578456000</v>
      </c>
      <c r="C3" s="4">
        <v>655154000</v>
      </c>
      <c r="D3" s="4">
        <v>394131000</v>
      </c>
      <c r="E3" s="4">
        <v>388000</v>
      </c>
      <c r="F3" s="4">
        <v>168786000</v>
      </c>
      <c r="G3" s="4">
        <f t="shared" ref="G3:G25" si="0" xml:space="preserve"> B3 - C3 - D3 - E3 - F3</f>
        <v>359997000</v>
      </c>
    </row>
    <row r="4" spans="1:7" x14ac:dyDescent="0.3">
      <c r="A4">
        <v>2007</v>
      </c>
      <c r="B4" s="4">
        <v>3205498000</v>
      </c>
      <c r="C4" s="4">
        <v>1283148000</v>
      </c>
      <c r="D4" s="4">
        <v>861756000</v>
      </c>
      <c r="E4" s="4">
        <v>122000000</v>
      </c>
      <c r="F4" s="4">
        <v>154017000</v>
      </c>
      <c r="G4" s="4">
        <f t="shared" si="0"/>
        <v>784577000</v>
      </c>
    </row>
    <row r="5" spans="1:7" x14ac:dyDescent="0.3">
      <c r="A5">
        <v>2008</v>
      </c>
      <c r="B5" s="4">
        <v>2689700000</v>
      </c>
      <c r="C5" s="4">
        <v>1048728000</v>
      </c>
      <c r="D5" s="4">
        <v>709641000</v>
      </c>
      <c r="E5" s="4">
        <v>21000</v>
      </c>
      <c r="F5" s="4">
        <v>306150000</v>
      </c>
      <c r="G5" s="4">
        <f t="shared" si="0"/>
        <v>625160000</v>
      </c>
    </row>
    <row r="6" spans="1:7" x14ac:dyDescent="0.3">
      <c r="A6">
        <v>2009</v>
      </c>
      <c r="B6" s="4">
        <v>2456000000</v>
      </c>
      <c r="C6" s="4">
        <v>989032000</v>
      </c>
      <c r="D6" s="4">
        <v>651596000</v>
      </c>
      <c r="E6" s="4">
        <v>177000</v>
      </c>
      <c r="F6" s="4">
        <v>255100000</v>
      </c>
      <c r="G6" s="4">
        <f t="shared" si="0"/>
        <v>560095000</v>
      </c>
    </row>
    <row r="7" spans="1:7" x14ac:dyDescent="0.3">
      <c r="A7">
        <v>2010</v>
      </c>
      <c r="B7" s="4">
        <v>2253800000</v>
      </c>
      <c r="C7" s="4">
        <v>904119000</v>
      </c>
      <c r="D7" s="4">
        <v>606982000</v>
      </c>
      <c r="E7" s="4">
        <v>8000</v>
      </c>
      <c r="F7" s="4">
        <v>218327000</v>
      </c>
      <c r="G7" s="4">
        <f t="shared" si="0"/>
        <v>524364000</v>
      </c>
    </row>
    <row r="8" spans="1:7" x14ac:dyDescent="0.3">
      <c r="A8">
        <v>2011</v>
      </c>
      <c r="B8" s="4">
        <v>4826686000</v>
      </c>
      <c r="C8" s="4">
        <v>1955824000</v>
      </c>
      <c r="D8" s="4">
        <v>1430128000</v>
      </c>
      <c r="E8" s="4">
        <v>171000</v>
      </c>
      <c r="F8" s="4">
        <v>401578000</v>
      </c>
      <c r="G8" s="4">
        <f t="shared" si="0"/>
        <v>1038985000</v>
      </c>
    </row>
    <row r="9" spans="1:7" x14ac:dyDescent="0.3">
      <c r="A9">
        <v>2012</v>
      </c>
      <c r="B9" s="4">
        <v>4231400000</v>
      </c>
      <c r="C9" s="4">
        <v>1662579000</v>
      </c>
      <c r="D9" s="4">
        <v>1250979000</v>
      </c>
      <c r="E9" s="4">
        <v>446000</v>
      </c>
      <c r="F9" s="4">
        <v>402281000</v>
      </c>
      <c r="G9" s="4">
        <f t="shared" si="0"/>
        <v>915115000</v>
      </c>
    </row>
    <row r="10" spans="1:7" x14ac:dyDescent="0.3">
      <c r="A10">
        <v>2013</v>
      </c>
      <c r="B10" s="4">
        <v>3872000000</v>
      </c>
      <c r="C10" s="4">
        <v>1560255000</v>
      </c>
      <c r="D10" s="4">
        <v>1207130000</v>
      </c>
      <c r="E10" s="4">
        <v>244000</v>
      </c>
      <c r="F10" s="4">
        <v>316625000</v>
      </c>
      <c r="G10" s="4">
        <f t="shared" si="0"/>
        <v>787746000</v>
      </c>
    </row>
    <row r="11" spans="1:7" x14ac:dyDescent="0.3">
      <c r="A11">
        <v>2014</v>
      </c>
      <c r="B11" s="4">
        <v>3664000000</v>
      </c>
      <c r="C11" s="4">
        <v>1470426000</v>
      </c>
      <c r="D11" s="4">
        <v>972365000</v>
      </c>
      <c r="E11" s="4">
        <v>342000</v>
      </c>
      <c r="F11" s="4">
        <v>349775000</v>
      </c>
      <c r="G11" s="4">
        <f t="shared" si="0"/>
        <v>871092000</v>
      </c>
    </row>
    <row r="12" spans="1:7" x14ac:dyDescent="0.3">
      <c r="A12">
        <v>2015</v>
      </c>
      <c r="B12" s="4">
        <v>5700950000</v>
      </c>
      <c r="C12" s="4">
        <v>2190005000</v>
      </c>
      <c r="D12" s="4">
        <v>1650740000</v>
      </c>
      <c r="E12" s="4">
        <v>88447000</v>
      </c>
      <c r="F12" s="4">
        <v>452905000</v>
      </c>
      <c r="G12" s="4">
        <f t="shared" si="0"/>
        <v>1318853000</v>
      </c>
    </row>
    <row r="13" spans="1:7" x14ac:dyDescent="0.3">
      <c r="A13">
        <v>2016</v>
      </c>
      <c r="B13" s="4">
        <v>5541400000</v>
      </c>
      <c r="C13" s="4">
        <v>2173390000</v>
      </c>
      <c r="D13" s="4">
        <v>1720445000</v>
      </c>
      <c r="E13" s="4">
        <v>90996000</v>
      </c>
      <c r="F13" s="4">
        <v>378844000</v>
      </c>
      <c r="G13" s="4">
        <f t="shared" si="0"/>
        <v>1177725000</v>
      </c>
    </row>
    <row r="14" spans="1:7" x14ac:dyDescent="0.3">
      <c r="A14">
        <v>2017</v>
      </c>
      <c r="B14" s="4">
        <v>5367200000</v>
      </c>
      <c r="C14" s="4">
        <v>2147575000</v>
      </c>
      <c r="D14" s="4">
        <v>1641660000</v>
      </c>
      <c r="E14" s="4">
        <v>88086000</v>
      </c>
      <c r="F14" s="4">
        <v>388497000</v>
      </c>
      <c r="G14" s="4">
        <f t="shared" si="0"/>
        <v>1101382000</v>
      </c>
    </row>
    <row r="15" spans="1:7" x14ac:dyDescent="0.3">
      <c r="A15">
        <v>2018</v>
      </c>
      <c r="B15" s="4">
        <v>5186000000</v>
      </c>
      <c r="C15" s="4">
        <v>2110536000</v>
      </c>
      <c r="D15" s="4">
        <v>1529229000</v>
      </c>
      <c r="E15" s="4">
        <v>387000</v>
      </c>
      <c r="F15" s="4">
        <v>406492000</v>
      </c>
      <c r="G15" s="4">
        <f t="shared" si="0"/>
        <v>1139356000</v>
      </c>
    </row>
    <row r="16" spans="1:7" x14ac:dyDescent="0.3">
      <c r="A16">
        <v>2019</v>
      </c>
      <c r="B16" s="4">
        <v>6673863000</v>
      </c>
      <c r="C16" s="4">
        <v>2408400000</v>
      </c>
      <c r="D16" s="4">
        <v>1784480000</v>
      </c>
      <c r="E16" s="4">
        <v>66862000</v>
      </c>
      <c r="F16" s="4">
        <v>594571000</v>
      </c>
      <c r="G16" s="4">
        <f t="shared" si="0"/>
        <v>1819550000</v>
      </c>
    </row>
    <row r="17" spans="1:17" x14ac:dyDescent="0.3">
      <c r="A17">
        <v>2020</v>
      </c>
      <c r="B17" s="4">
        <v>5945000000</v>
      </c>
      <c r="C17" s="4">
        <v>2226000000</v>
      </c>
      <c r="D17" s="4">
        <v>1645000000</v>
      </c>
      <c r="E17" s="4">
        <v>46702000</v>
      </c>
      <c r="F17" s="4">
        <v>428000000</v>
      </c>
      <c r="G17" s="4">
        <f t="shared" si="0"/>
        <v>1599298000</v>
      </c>
    </row>
    <row r="18" spans="1:17" x14ac:dyDescent="0.3">
      <c r="A18">
        <v>2021</v>
      </c>
      <c r="B18" s="4">
        <v>5523000000</v>
      </c>
      <c r="C18" s="4">
        <v>2108000000</v>
      </c>
      <c r="D18" s="4">
        <v>1541000000</v>
      </c>
      <c r="E18" s="4">
        <v>50017000</v>
      </c>
      <c r="F18" s="4">
        <v>371000000</v>
      </c>
      <c r="G18" s="4">
        <f t="shared" si="0"/>
        <v>1452983000</v>
      </c>
    </row>
    <row r="19" spans="1:17" x14ac:dyDescent="0.3">
      <c r="A19">
        <v>2022</v>
      </c>
      <c r="B19" s="4">
        <v>5509000000</v>
      </c>
      <c r="C19" s="4">
        <v>2102000000</v>
      </c>
      <c r="D19" s="4">
        <v>1523000000</v>
      </c>
      <c r="E19" s="4">
        <v>66092000</v>
      </c>
      <c r="F19" s="4">
        <v>467000000</v>
      </c>
      <c r="G19" s="4">
        <f t="shared" si="0"/>
        <v>1350908000</v>
      </c>
      <c r="O19" s="11"/>
      <c r="P19" s="11"/>
      <c r="Q19" s="11"/>
    </row>
    <row r="20" spans="1:17" x14ac:dyDescent="0.3">
      <c r="A20">
        <v>2023</v>
      </c>
      <c r="B20" s="4">
        <v>8440000000</v>
      </c>
      <c r="C20" s="4">
        <v>2946000000</v>
      </c>
      <c r="D20" s="4">
        <v>2512000000</v>
      </c>
      <c r="E20" s="4">
        <v>176000000</v>
      </c>
      <c r="F20" s="4">
        <v>599000000</v>
      </c>
      <c r="G20" s="4">
        <f t="shared" si="0"/>
        <v>2207000000</v>
      </c>
      <c r="N20" s="11"/>
      <c r="O20" s="1"/>
      <c r="P20" s="1"/>
      <c r="Q20" s="1"/>
    </row>
    <row r="21" spans="1:17" x14ac:dyDescent="0.3">
      <c r="A21">
        <v>2024</v>
      </c>
      <c r="B21" s="4">
        <v>7286000000</v>
      </c>
      <c r="C21" s="4">
        <v>2552000000</v>
      </c>
      <c r="D21" s="4">
        <v>2187000000</v>
      </c>
      <c r="E21" s="4">
        <v>172000000</v>
      </c>
      <c r="F21" s="4">
        <v>547000000</v>
      </c>
      <c r="G21" s="4">
        <f t="shared" si="0"/>
        <v>1828000000</v>
      </c>
      <c r="N21" s="11"/>
      <c r="O21" s="1"/>
      <c r="P21" s="1"/>
      <c r="Q21" s="1"/>
    </row>
    <row r="22" spans="1:17" x14ac:dyDescent="0.3">
      <c r="A22">
        <v>2025</v>
      </c>
      <c r="B22" s="4">
        <v>6820000000</v>
      </c>
      <c r="C22" s="4">
        <v>2467000000</v>
      </c>
      <c r="D22" s="4">
        <v>1988000000</v>
      </c>
      <c r="E22" s="4">
        <v>136000000</v>
      </c>
      <c r="F22" s="4">
        <v>594000000</v>
      </c>
      <c r="G22" s="4">
        <f t="shared" si="0"/>
        <v>1635000000</v>
      </c>
      <c r="N22" s="11"/>
      <c r="O22" s="1"/>
      <c r="P22" s="1"/>
      <c r="Q22" s="1"/>
    </row>
    <row r="23" spans="1:17" x14ac:dyDescent="0.3">
      <c r="A23" s="8">
        <v>2026</v>
      </c>
      <c r="B23" s="9">
        <f>B22*(1+Assumptions!$B$2)</f>
        <v>7842999999.999999</v>
      </c>
      <c r="C23" s="9">
        <f>B23*Assumptions!$B$3</f>
        <v>4705799999.999999</v>
      </c>
      <c r="D23" s="9">
        <f>B23*Assumptions!$B$4</f>
        <v>1176449999.9999998</v>
      </c>
      <c r="E23" s="9">
        <f>Assumptions!$B$5</f>
        <v>161333333.33333334</v>
      </c>
      <c r="F23" s="9">
        <f>(B23-C23-D23-E23)*Assumptions!$B$6</f>
        <v>449854166.66666675</v>
      </c>
      <c r="G23" s="10">
        <f xml:space="preserve"> B23 - C23 - D23 - E23 - F23</f>
        <v>1349562500.0000002</v>
      </c>
    </row>
    <row r="24" spans="1:17" x14ac:dyDescent="0.3">
      <c r="A24" s="8">
        <v>2027</v>
      </c>
      <c r="B24" s="9">
        <f>B23*(1+Assumptions!$B$2)</f>
        <v>9019449999.9999981</v>
      </c>
      <c r="C24" s="9">
        <f>B24*Assumptions!$B$3</f>
        <v>5411669999.999999</v>
      </c>
      <c r="D24" s="9">
        <f>B24*Assumptions!$B$4</f>
        <v>1352917499.9999998</v>
      </c>
      <c r="E24" s="9">
        <f>Assumptions!$B$5</f>
        <v>161333333.33333334</v>
      </c>
      <c r="F24" s="9">
        <f>(B24-C24-D24-E24)*Assumptions!$B$6</f>
        <v>523382291.66666645</v>
      </c>
      <c r="G24" s="10">
        <f t="shared" si="0"/>
        <v>1570146874.9999993</v>
      </c>
    </row>
    <row r="25" spans="1:17" x14ac:dyDescent="0.3">
      <c r="A25" s="8">
        <v>2028</v>
      </c>
      <c r="B25" s="9">
        <f>B24*(1+Assumptions!$B$2)</f>
        <v>10372367499.999996</v>
      </c>
      <c r="C25" s="9">
        <f>B25*Assumptions!$B$3</f>
        <v>6223420499.9999971</v>
      </c>
      <c r="D25" s="9">
        <f>B25*Assumptions!$B$4</f>
        <v>1555855124.9999993</v>
      </c>
      <c r="E25" s="9">
        <f>Assumptions!$B$5</f>
        <v>161333333.33333334</v>
      </c>
      <c r="F25" s="9">
        <f>(B25-C25-D25-E25)*Assumptions!$B$6</f>
        <v>607939635.41666663</v>
      </c>
      <c r="G25" s="10">
        <f t="shared" si="0"/>
        <v>1823818906.25</v>
      </c>
    </row>
    <row r="26" spans="1:17" x14ac:dyDescent="0.3">
      <c r="G26" s="2"/>
    </row>
    <row r="27" spans="1:17" x14ac:dyDescent="0.3">
      <c r="G27" s="2"/>
    </row>
    <row r="28" spans="1:17" x14ac:dyDescent="0.3">
      <c r="G28" s="2"/>
    </row>
    <row r="29" spans="1:17" x14ac:dyDescent="0.3">
      <c r="G29" s="2"/>
    </row>
    <row r="30" spans="1:17" x14ac:dyDescent="0.3">
      <c r="G30" s="2"/>
    </row>
    <row r="31" spans="1:17" x14ac:dyDescent="0.3">
      <c r="G31" s="2"/>
    </row>
    <row r="32" spans="1:17" x14ac:dyDescent="0.3">
      <c r="G32" s="2"/>
    </row>
    <row r="33" spans="7:7" x14ac:dyDescent="0.3">
      <c r="G33" s="2"/>
    </row>
    <row r="34" spans="7:7" x14ac:dyDescent="0.3">
      <c r="G34" s="2"/>
    </row>
    <row r="35" spans="7:7" x14ac:dyDescent="0.3">
      <c r="G35" s="2"/>
    </row>
    <row r="36" spans="7:7" x14ac:dyDescent="0.3">
      <c r="G36" s="2"/>
    </row>
    <row r="37" spans="7:7" x14ac:dyDescent="0.3">
      <c r="G37" s="2"/>
    </row>
    <row r="38" spans="7:7" x14ac:dyDescent="0.3">
      <c r="G38" s="2"/>
    </row>
    <row r="39" spans="7:7" x14ac:dyDescent="0.3">
      <c r="G39" s="2"/>
    </row>
    <row r="40" spans="7:7" x14ac:dyDescent="0.3">
      <c r="G40" s="2"/>
    </row>
    <row r="41" spans="7:7" x14ac:dyDescent="0.3">
      <c r="G41" s="2"/>
    </row>
    <row r="42" spans="7:7" x14ac:dyDescent="0.3">
      <c r="G42" s="2"/>
    </row>
    <row r="43" spans="7:7" x14ac:dyDescent="0.3">
      <c r="G43" s="2"/>
    </row>
    <row r="44" spans="7:7" x14ac:dyDescent="0.3">
      <c r="G44" s="2"/>
    </row>
    <row r="45" spans="7:7" x14ac:dyDescent="0.3">
      <c r="G45" s="2"/>
    </row>
    <row r="46" spans="7:7" x14ac:dyDescent="0.3">
      <c r="G46" s="2"/>
    </row>
    <row r="47" spans="7:7" x14ac:dyDescent="0.3">
      <c r="G47" s="2"/>
    </row>
    <row r="48" spans="7:7" x14ac:dyDescent="0.3">
      <c r="G48" s="2"/>
    </row>
    <row r="49" spans="7:7" x14ac:dyDescent="0.3">
      <c r="G49" s="2"/>
    </row>
    <row r="50" spans="7:7" x14ac:dyDescent="0.3">
      <c r="G50" s="2"/>
    </row>
    <row r="51" spans="7:7" x14ac:dyDescent="0.3">
      <c r="G51" s="2"/>
    </row>
    <row r="52" spans="7:7" x14ac:dyDescent="0.3">
      <c r="G52" s="2"/>
    </row>
    <row r="53" spans="7:7" x14ac:dyDescent="0.3">
      <c r="G53" s="2"/>
    </row>
    <row r="54" spans="7:7" x14ac:dyDescent="0.3">
      <c r="G54" s="2"/>
    </row>
    <row r="55" spans="7:7" x14ac:dyDescent="0.3">
      <c r="G55" s="2"/>
    </row>
    <row r="56" spans="7:7" x14ac:dyDescent="0.3">
      <c r="G56" s="2"/>
    </row>
    <row r="57" spans="7:7" x14ac:dyDescent="0.3">
      <c r="G57" s="2"/>
    </row>
    <row r="58" spans="7:7" x14ac:dyDescent="0.3">
      <c r="G58" s="2"/>
    </row>
    <row r="59" spans="7:7" x14ac:dyDescent="0.3">
      <c r="G59" s="2"/>
    </row>
    <row r="60" spans="7:7" x14ac:dyDescent="0.3">
      <c r="G60" s="2"/>
    </row>
    <row r="61" spans="7:7" x14ac:dyDescent="0.3">
      <c r="G61" s="2"/>
    </row>
    <row r="62" spans="7:7" x14ac:dyDescent="0.3">
      <c r="G62" s="2"/>
    </row>
    <row r="63" spans="7:7" x14ac:dyDescent="0.3">
      <c r="G63" s="2"/>
    </row>
    <row r="64" spans="7:7" x14ac:dyDescent="0.3">
      <c r="G64" s="2"/>
    </row>
    <row r="65" spans="2:7" x14ac:dyDescent="0.3">
      <c r="G65" s="2"/>
    </row>
    <row r="66" spans="2:7" x14ac:dyDescent="0.3">
      <c r="G66" s="2"/>
    </row>
    <row r="67" spans="2:7" x14ac:dyDescent="0.3">
      <c r="G67" s="2"/>
    </row>
    <row r="68" spans="2:7" x14ac:dyDescent="0.3">
      <c r="G68" s="2"/>
    </row>
    <row r="69" spans="2:7" x14ac:dyDescent="0.3">
      <c r="G69" s="2"/>
    </row>
    <row r="70" spans="2:7" x14ac:dyDescent="0.3">
      <c r="G70" s="2"/>
    </row>
    <row r="71" spans="2:7" x14ac:dyDescent="0.3">
      <c r="G71" s="2"/>
    </row>
    <row r="72" spans="2:7" x14ac:dyDescent="0.3">
      <c r="G72" s="2"/>
    </row>
    <row r="73" spans="2:7" x14ac:dyDescent="0.3">
      <c r="G73" s="2"/>
    </row>
    <row r="74" spans="2:7" x14ac:dyDescent="0.3">
      <c r="G74" s="2"/>
    </row>
    <row r="75" spans="2:7" x14ac:dyDescent="0.3">
      <c r="G75" s="2"/>
    </row>
    <row r="76" spans="2:7" x14ac:dyDescent="0.3">
      <c r="G76" s="2"/>
    </row>
    <row r="77" spans="2:7" x14ac:dyDescent="0.3">
      <c r="G77" s="2"/>
    </row>
    <row r="78" spans="2:7" x14ac:dyDescent="0.3">
      <c r="G78" s="2"/>
    </row>
    <row r="79" spans="2:7" x14ac:dyDescent="0.3">
      <c r="G79" s="2"/>
    </row>
    <row r="80" spans="2:7" x14ac:dyDescent="0.3">
      <c r="B80" s="1"/>
      <c r="G80" s="2"/>
    </row>
    <row r="81" spans="7:7" x14ac:dyDescent="0.3">
      <c r="G81" s="2"/>
    </row>
  </sheetData>
  <sortState xmlns:xlrd2="http://schemas.microsoft.com/office/spreadsheetml/2017/richdata2" ref="A2:F82">
    <sortCondition ref="A1:A8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1538-F04A-49BD-B972-FE8F57774824}">
  <dimension ref="A1"/>
  <sheetViews>
    <sheetView workbookViewId="0">
      <selection activeCell="F23" sqref="F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0E2D-AC9A-40AC-A07D-F81F88F3AEEE}">
  <dimension ref="A6:D15"/>
  <sheetViews>
    <sheetView workbookViewId="0">
      <selection activeCell="C23" sqref="C23"/>
    </sheetView>
  </sheetViews>
  <sheetFormatPr defaultRowHeight="14.4" x14ac:dyDescent="0.3"/>
  <cols>
    <col min="2" max="2" width="10" bestFit="1" customWidth="1"/>
    <col min="3" max="3" width="16.5546875" bestFit="1" customWidth="1"/>
    <col min="4" max="5" width="10" bestFit="1" customWidth="1"/>
  </cols>
  <sheetData>
    <row r="6" spans="1:4" x14ac:dyDescent="0.3">
      <c r="A6" t="s">
        <v>6</v>
      </c>
      <c r="B6" t="s">
        <v>1</v>
      </c>
      <c r="C6" t="s">
        <v>2</v>
      </c>
      <c r="D6" t="s">
        <v>0</v>
      </c>
    </row>
    <row r="7" spans="1:4" x14ac:dyDescent="0.3">
      <c r="A7">
        <v>2020</v>
      </c>
      <c r="B7" s="4">
        <v>2226000000</v>
      </c>
      <c r="C7" s="4">
        <v>1645000000</v>
      </c>
      <c r="D7" s="4">
        <v>5945000000</v>
      </c>
    </row>
    <row r="8" spans="1:4" x14ac:dyDescent="0.3">
      <c r="A8">
        <v>2021</v>
      </c>
      <c r="B8" s="4">
        <v>2108000000</v>
      </c>
      <c r="C8" s="4">
        <v>1541000000</v>
      </c>
      <c r="D8" s="4">
        <v>5523000000</v>
      </c>
    </row>
    <row r="9" spans="1:4" x14ac:dyDescent="0.3">
      <c r="A9">
        <v>2022</v>
      </c>
      <c r="B9" s="4">
        <v>2102000000</v>
      </c>
      <c r="C9" s="4">
        <v>1523000000</v>
      </c>
      <c r="D9" s="4">
        <v>5509000000</v>
      </c>
    </row>
    <row r="10" spans="1:4" x14ac:dyDescent="0.3">
      <c r="A10">
        <v>2023</v>
      </c>
      <c r="B10" s="4">
        <v>2946000000</v>
      </c>
      <c r="C10" s="4">
        <v>2512000000</v>
      </c>
      <c r="D10" s="4">
        <v>8440000000</v>
      </c>
    </row>
    <row r="11" spans="1:4" x14ac:dyDescent="0.3">
      <c r="A11">
        <v>2024</v>
      </c>
      <c r="B11" s="4">
        <v>2552000000</v>
      </c>
      <c r="C11" s="4">
        <v>2187000000</v>
      </c>
      <c r="D11" s="4">
        <v>7286000000</v>
      </c>
    </row>
    <row r="12" spans="1:4" x14ac:dyDescent="0.3">
      <c r="A12">
        <v>2025</v>
      </c>
      <c r="B12" s="4">
        <v>2467000000</v>
      </c>
      <c r="C12" s="4">
        <v>1988000000</v>
      </c>
      <c r="D12" s="4">
        <v>6820000000</v>
      </c>
    </row>
    <row r="13" spans="1:4" x14ac:dyDescent="0.3">
      <c r="A13" s="8">
        <v>2026</v>
      </c>
      <c r="B13" s="9">
        <f>D13*Assumptions!$B$3</f>
        <v>4705799999.999999</v>
      </c>
      <c r="C13" s="9">
        <f>D13*Assumptions!$B$4</f>
        <v>1176449999.9999998</v>
      </c>
      <c r="D13" s="9">
        <f>D12*(1+Assumptions!$B$2)</f>
        <v>7842999999.999999</v>
      </c>
    </row>
    <row r="14" spans="1:4" x14ac:dyDescent="0.3">
      <c r="A14" s="8">
        <v>2027</v>
      </c>
      <c r="B14" s="9">
        <f>D14*Assumptions!$B$3</f>
        <v>5411669999.999999</v>
      </c>
      <c r="C14" s="9">
        <f>D14*Assumptions!$B$4</f>
        <v>1352917499.9999998</v>
      </c>
      <c r="D14" s="9">
        <f>D13*(1+Assumptions!$B$2)</f>
        <v>9019449999.9999981</v>
      </c>
    </row>
    <row r="15" spans="1:4" x14ac:dyDescent="0.3">
      <c r="A15" s="8">
        <v>2028</v>
      </c>
      <c r="B15" s="9">
        <f>D15*Assumptions!$B$3</f>
        <v>6223420499.9999971</v>
      </c>
      <c r="C15" s="9">
        <f>D15*Assumptions!$B$4</f>
        <v>1555855124.9999993</v>
      </c>
      <c r="D15" s="9">
        <f>D14*(1+Assumptions!$B$2)</f>
        <v>10372367499.999996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4CA-1BD5-442F-8FF5-B5D21CB5F5B6}">
  <dimension ref="A1:O6"/>
  <sheetViews>
    <sheetView workbookViewId="0">
      <selection activeCell="N17" sqref="N17"/>
    </sheetView>
  </sheetViews>
  <sheetFormatPr defaultRowHeight="14.4" x14ac:dyDescent="0.3"/>
  <cols>
    <col min="1" max="1" width="17" bestFit="1" customWidth="1"/>
    <col min="2" max="2" width="13.6640625" bestFit="1" customWidth="1"/>
  </cols>
  <sheetData>
    <row r="1" spans="1:15" x14ac:dyDescent="0.3">
      <c r="A1" s="5" t="s">
        <v>12</v>
      </c>
    </row>
    <row r="2" spans="1:15" ht="14.4" customHeight="1" x14ac:dyDescent="0.5">
      <c r="A2" s="30" t="s">
        <v>7</v>
      </c>
      <c r="B2" s="6">
        <v>0.15</v>
      </c>
      <c r="D2" s="3"/>
      <c r="L2" s="1"/>
      <c r="M2" s="11"/>
      <c r="N2" s="11"/>
      <c r="O2" s="11"/>
    </row>
    <row r="3" spans="1:15" x14ac:dyDescent="0.3">
      <c r="A3" s="30" t="s">
        <v>8</v>
      </c>
      <c r="B3" s="6">
        <v>0.6</v>
      </c>
      <c r="L3" s="11"/>
      <c r="M3" s="12"/>
      <c r="N3" s="12"/>
      <c r="O3" s="12"/>
    </row>
    <row r="4" spans="1:15" x14ac:dyDescent="0.3">
      <c r="A4" s="30" t="s">
        <v>9</v>
      </c>
      <c r="B4" s="6">
        <v>0.15</v>
      </c>
      <c r="L4" s="11"/>
      <c r="M4" s="12"/>
      <c r="N4" s="12"/>
      <c r="O4" s="12"/>
    </row>
    <row r="5" spans="1:15" x14ac:dyDescent="0.3">
      <c r="A5" s="30" t="s">
        <v>10</v>
      </c>
      <c r="B5" s="7">
        <f>(176000000 + 172000000 + 136000000) / 3</f>
        <v>161333333.33333334</v>
      </c>
      <c r="L5" s="11"/>
      <c r="M5" s="12"/>
      <c r="N5" s="12"/>
      <c r="O5" s="12"/>
    </row>
    <row r="6" spans="1:15" x14ac:dyDescent="0.3">
      <c r="A6" s="30" t="s">
        <v>11</v>
      </c>
      <c r="B6" s="6">
        <v>0.25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F331-D689-4CD7-9708-069FA6BFFD46}">
  <dimension ref="B1:M39"/>
  <sheetViews>
    <sheetView showGridLines="0" showRowColHeaders="0" tabSelected="1" topLeftCell="B1" workbookViewId="0">
      <selection activeCell="L34" sqref="L34"/>
    </sheetView>
  </sheetViews>
  <sheetFormatPr defaultRowHeight="14.4" x14ac:dyDescent="0.3"/>
  <cols>
    <col min="1" max="1" width="5" bestFit="1" customWidth="1"/>
    <col min="2" max="2" width="10" bestFit="1" customWidth="1"/>
    <col min="3" max="3" width="9" bestFit="1" customWidth="1"/>
    <col min="4" max="4" width="16.5546875" bestFit="1" customWidth="1"/>
    <col min="5" max="5" width="13.88671875" bestFit="1" customWidth="1"/>
    <col min="6" max="6" width="4.5546875" bestFit="1" customWidth="1"/>
    <col min="7" max="7" width="13.6640625" bestFit="1" customWidth="1"/>
    <col min="8" max="9" width="11" bestFit="1" customWidth="1"/>
    <col min="10" max="10" width="10.5546875" bestFit="1" customWidth="1"/>
    <col min="11" max="11" width="11" bestFit="1" customWidth="1"/>
    <col min="12" max="13" width="13.6640625" bestFit="1" customWidth="1"/>
  </cols>
  <sheetData>
    <row r="1" spans="2:13" x14ac:dyDescent="0.3">
      <c r="I1" s="12"/>
    </row>
    <row r="2" spans="2:13" x14ac:dyDescent="0.3">
      <c r="B2" s="4"/>
      <c r="C2" s="4"/>
      <c r="D2" s="16" t="s">
        <v>7</v>
      </c>
      <c r="E2" s="18">
        <f>Assumptions!$B$2</f>
        <v>0.15</v>
      </c>
      <c r="F2" s="4"/>
      <c r="G2" s="4"/>
    </row>
    <row r="3" spans="2:13" x14ac:dyDescent="0.3">
      <c r="B3" s="4"/>
      <c r="C3" s="4"/>
      <c r="D3" s="16" t="s">
        <v>8</v>
      </c>
      <c r="E3" s="18">
        <f>Assumptions!$B$3</f>
        <v>0.6</v>
      </c>
      <c r="F3" s="4"/>
      <c r="G3" s="4"/>
    </row>
    <row r="4" spans="2:13" ht="14.4" customHeight="1" x14ac:dyDescent="0.3">
      <c r="B4" s="4"/>
      <c r="C4" s="4"/>
      <c r="D4" s="16" t="s">
        <v>13</v>
      </c>
      <c r="E4" s="12">
        <f>Model!G23</f>
        <v>1349562500.0000002</v>
      </c>
      <c r="F4" s="4"/>
      <c r="G4" s="4"/>
      <c r="J4" s="40" t="s">
        <v>15</v>
      </c>
      <c r="K4" s="21"/>
      <c r="L4" s="11"/>
      <c r="M4" s="11"/>
    </row>
    <row r="5" spans="2:13" x14ac:dyDescent="0.3">
      <c r="B5" s="4"/>
      <c r="C5" s="4"/>
      <c r="E5" s="4"/>
      <c r="F5" s="4"/>
      <c r="G5" s="4"/>
      <c r="J5" s="41"/>
      <c r="K5" s="21"/>
      <c r="L5" s="12"/>
      <c r="M5" s="12"/>
    </row>
    <row r="6" spans="2:13" x14ac:dyDescent="0.3">
      <c r="B6" s="4"/>
      <c r="C6" s="4"/>
      <c r="D6" s="4"/>
      <c r="E6" s="4"/>
      <c r="F6" s="4"/>
      <c r="G6" s="4"/>
      <c r="J6" s="41"/>
      <c r="K6" s="21"/>
      <c r="M6" s="12"/>
    </row>
    <row r="7" spans="2:13" x14ac:dyDescent="0.3">
      <c r="B7" s="4"/>
      <c r="C7" s="4"/>
      <c r="D7" s="4"/>
      <c r="E7" s="4"/>
      <c r="F7" s="4"/>
      <c r="G7" s="4"/>
      <c r="J7" s="19"/>
      <c r="K7" s="42"/>
      <c r="L7" s="12"/>
      <c r="M7" s="12"/>
    </row>
    <row r="8" spans="2:13" x14ac:dyDescent="0.3">
      <c r="B8" s="4"/>
      <c r="C8" s="4"/>
      <c r="D8" s="4"/>
      <c r="E8" s="4"/>
      <c r="F8" s="4"/>
      <c r="G8" s="4"/>
      <c r="J8" s="20"/>
      <c r="K8" s="42"/>
    </row>
    <row r="9" spans="2:13" x14ac:dyDescent="0.3">
      <c r="B9" s="4"/>
      <c r="C9" s="4"/>
      <c r="D9" s="4"/>
      <c r="E9" s="14"/>
      <c r="G9" s="45" t="s">
        <v>14</v>
      </c>
      <c r="H9" s="45"/>
      <c r="I9" s="45"/>
      <c r="J9" s="20"/>
      <c r="K9" s="42"/>
    </row>
    <row r="10" spans="2:13" x14ac:dyDescent="0.3">
      <c r="B10" s="4"/>
      <c r="C10" s="4"/>
      <c r="D10" s="15"/>
      <c r="E10" s="4"/>
      <c r="G10" s="15">
        <v>0.5</v>
      </c>
      <c r="H10" s="15">
        <v>0.55000000000000004</v>
      </c>
      <c r="I10" s="15">
        <v>0.6</v>
      </c>
    </row>
    <row r="11" spans="2:13" x14ac:dyDescent="0.3">
      <c r="B11" s="4"/>
      <c r="C11" s="4"/>
      <c r="D11" s="15"/>
      <c r="E11" s="46" t="s">
        <v>7</v>
      </c>
      <c r="F11" s="15">
        <v>0.05</v>
      </c>
      <c r="G11" s="1">
        <v>1758762500</v>
      </c>
      <c r="H11">
        <v>1490224999.9999998</v>
      </c>
      <c r="I11">
        <v>1221687500</v>
      </c>
      <c r="J11" s="47" t="s">
        <v>13</v>
      </c>
    </row>
    <row r="12" spans="2:13" x14ac:dyDescent="0.3">
      <c r="B12" s="4"/>
      <c r="C12" s="4"/>
      <c r="D12" s="15"/>
      <c r="E12" s="46"/>
      <c r="F12" s="15">
        <v>0.1</v>
      </c>
      <c r="G12" s="1">
        <v>1848275000.0000002</v>
      </c>
      <c r="H12">
        <v>1566950000</v>
      </c>
      <c r="I12">
        <v>1285625000.0000007</v>
      </c>
      <c r="J12" s="47"/>
    </row>
    <row r="13" spans="2:13" x14ac:dyDescent="0.3">
      <c r="B13" s="4"/>
      <c r="C13" s="4"/>
      <c r="D13" s="4"/>
      <c r="E13" s="46"/>
      <c r="F13" s="15">
        <v>0.15</v>
      </c>
      <c r="G13" s="1">
        <v>1937787500</v>
      </c>
      <c r="H13">
        <v>1643674999.999999</v>
      </c>
      <c r="I13">
        <v>1349562500.0000002</v>
      </c>
      <c r="J13" s="47"/>
    </row>
    <row r="14" spans="2:13" x14ac:dyDescent="0.3">
      <c r="B14" s="4"/>
      <c r="C14" s="4"/>
      <c r="D14" s="4"/>
      <c r="E14" s="4"/>
      <c r="F14" s="4"/>
      <c r="G14" s="4"/>
    </row>
    <row r="15" spans="2:13" x14ac:dyDescent="0.3">
      <c r="B15" s="4"/>
      <c r="C15" s="4"/>
      <c r="D15" s="4"/>
      <c r="E15" s="4"/>
      <c r="F15" s="4"/>
      <c r="G15" s="4"/>
      <c r="K15" s="13"/>
    </row>
    <row r="16" spans="2:13" x14ac:dyDescent="0.3">
      <c r="B16" s="4"/>
      <c r="C16" s="4"/>
      <c r="D16" s="4"/>
      <c r="E16" s="17"/>
      <c r="F16" s="4"/>
      <c r="G16" s="4"/>
      <c r="K16" s="13"/>
    </row>
    <row r="17" spans="2:12" x14ac:dyDescent="0.3">
      <c r="B17" s="4"/>
      <c r="C17" s="4"/>
      <c r="D17" s="4"/>
      <c r="E17" s="4"/>
      <c r="F17" s="4"/>
      <c r="G17" s="4"/>
      <c r="H17" s="43" t="s">
        <v>18</v>
      </c>
    </row>
    <row r="18" spans="2:12" x14ac:dyDescent="0.3">
      <c r="B18" s="4"/>
      <c r="C18" s="16" t="s">
        <v>17</v>
      </c>
      <c r="D18" s="16" t="s">
        <v>13</v>
      </c>
      <c r="E18" s="31">
        <v>4000000</v>
      </c>
      <c r="F18" s="4"/>
      <c r="G18" s="4"/>
      <c r="H18" s="44"/>
    </row>
    <row r="19" spans="2:12" x14ac:dyDescent="0.3">
      <c r="B19" s="4"/>
      <c r="C19" s="16" t="s">
        <v>16</v>
      </c>
      <c r="D19" s="16" t="s">
        <v>0</v>
      </c>
      <c r="E19" s="31">
        <v>112589655139.9424</v>
      </c>
      <c r="F19" s="4"/>
      <c r="G19" s="4"/>
      <c r="H19" s="44"/>
    </row>
    <row r="20" spans="2:12" ht="18" x14ac:dyDescent="0.3">
      <c r="B20" s="4"/>
      <c r="C20" s="4"/>
      <c r="D20" s="4"/>
      <c r="E20" s="4"/>
      <c r="F20" s="4"/>
      <c r="G20" s="4"/>
      <c r="H20" s="22"/>
    </row>
    <row r="21" spans="2:12" x14ac:dyDescent="0.3">
      <c r="B21" s="4"/>
      <c r="C21" s="4"/>
      <c r="D21" s="4"/>
      <c r="E21" s="4"/>
      <c r="F21" s="4"/>
      <c r="G21" s="4"/>
      <c r="L21" s="43" t="s">
        <v>33</v>
      </c>
    </row>
    <row r="22" spans="2:12" x14ac:dyDescent="0.3">
      <c r="B22" s="4"/>
      <c r="C22" s="4"/>
      <c r="D22" s="4"/>
      <c r="E22" s="4"/>
      <c r="F22" s="4"/>
      <c r="G22" s="4"/>
      <c r="L22" s="44"/>
    </row>
    <row r="23" spans="2:12" x14ac:dyDescent="0.3">
      <c r="B23" s="4"/>
      <c r="C23" s="4"/>
      <c r="D23" s="4"/>
      <c r="E23" s="4"/>
      <c r="F23" s="4"/>
      <c r="G23" s="4"/>
      <c r="L23" s="44"/>
    </row>
    <row r="24" spans="2:12" ht="18" x14ac:dyDescent="0.3">
      <c r="B24" s="4"/>
      <c r="C24" s="4"/>
      <c r="D24" s="4"/>
      <c r="E24" s="4"/>
      <c r="F24" s="4"/>
      <c r="G24" s="4"/>
      <c r="L24" s="23"/>
    </row>
    <row r="25" spans="2:12" x14ac:dyDescent="0.3">
      <c r="B25" s="4"/>
      <c r="C25" s="4"/>
      <c r="D25" s="4"/>
      <c r="E25" s="4"/>
      <c r="F25" s="4"/>
      <c r="G25" s="4"/>
    </row>
    <row r="27" spans="2:12" ht="15" thickBot="1" x14ac:dyDescent="0.35">
      <c r="D27" s="16" t="s">
        <v>7</v>
      </c>
      <c r="E27" s="26" t="s">
        <v>19</v>
      </c>
    </row>
    <row r="28" spans="2:12" ht="15.6" x14ac:dyDescent="0.3">
      <c r="D28" s="16" t="s">
        <v>8</v>
      </c>
      <c r="E28" s="26" t="s">
        <v>20</v>
      </c>
      <c r="F28" s="25" t="s">
        <v>26</v>
      </c>
      <c r="G28" s="36"/>
      <c r="H28" s="37"/>
      <c r="I28" s="37"/>
      <c r="J28" s="37"/>
      <c r="K28" s="37"/>
    </row>
    <row r="29" spans="2:12" ht="15.6" x14ac:dyDescent="0.3">
      <c r="D29" s="16" t="s">
        <v>9</v>
      </c>
      <c r="E29" s="26" t="s">
        <v>21</v>
      </c>
      <c r="F29" s="24"/>
      <c r="G29" s="38"/>
      <c r="H29" s="39" t="s">
        <v>28</v>
      </c>
      <c r="I29" s="39" t="s">
        <v>23</v>
      </c>
      <c r="J29" s="39" t="s">
        <v>24</v>
      </c>
      <c r="K29" s="39" t="s">
        <v>25</v>
      </c>
    </row>
    <row r="30" spans="2:12" x14ac:dyDescent="0.3">
      <c r="F30" s="26"/>
      <c r="G30" s="26"/>
      <c r="I30" s="29"/>
      <c r="J30" s="29"/>
      <c r="K30" s="29"/>
    </row>
    <row r="31" spans="2:12" x14ac:dyDescent="0.3">
      <c r="F31" s="27" t="s">
        <v>27</v>
      </c>
      <c r="G31" s="27"/>
      <c r="H31" s="32"/>
      <c r="I31" s="32"/>
      <c r="J31" s="32"/>
      <c r="K31" s="32"/>
    </row>
    <row r="32" spans="2:12" x14ac:dyDescent="0.3">
      <c r="F32" s="26"/>
      <c r="G32" s="26" t="s">
        <v>19</v>
      </c>
      <c r="H32" s="33"/>
      <c r="I32" s="34">
        <v>0.15</v>
      </c>
      <c r="J32" s="34">
        <v>0.1</v>
      </c>
      <c r="K32" s="34">
        <v>0.05</v>
      </c>
    </row>
    <row r="33" spans="6:11" x14ac:dyDescent="0.3">
      <c r="F33" s="26"/>
      <c r="G33" s="26" t="s">
        <v>20</v>
      </c>
      <c r="H33" s="33"/>
      <c r="I33" s="34">
        <v>0.5</v>
      </c>
      <c r="J33" s="34">
        <v>0.55000000000000004</v>
      </c>
      <c r="K33" s="34">
        <v>0.6</v>
      </c>
    </row>
    <row r="34" spans="6:11" x14ac:dyDescent="0.3">
      <c r="F34" s="26"/>
      <c r="G34" s="26" t="s">
        <v>21</v>
      </c>
      <c r="H34" s="33"/>
      <c r="I34" s="34">
        <v>0.1</v>
      </c>
      <c r="J34" s="34">
        <v>0.15</v>
      </c>
      <c r="K34" s="34">
        <v>0.2</v>
      </c>
    </row>
    <row r="35" spans="6:11" x14ac:dyDescent="0.3">
      <c r="F35" s="27" t="s">
        <v>29</v>
      </c>
      <c r="G35" s="27"/>
      <c r="H35" s="32"/>
      <c r="I35" s="32"/>
      <c r="J35" s="32"/>
      <c r="K35" s="32"/>
    </row>
    <row r="36" spans="6:11" ht="15" thickBot="1" x14ac:dyDescent="0.35">
      <c r="F36" s="28"/>
      <c r="G36" s="28" t="s">
        <v>22</v>
      </c>
      <c r="H36" s="35">
        <v>1349562500</v>
      </c>
      <c r="I36" s="35">
        <v>1349562500</v>
      </c>
      <c r="J36" s="35">
        <v>1349562500</v>
      </c>
      <c r="K36" s="35">
        <v>1349562500</v>
      </c>
    </row>
    <row r="37" spans="6:11" x14ac:dyDescent="0.3">
      <c r="F37" t="s">
        <v>30</v>
      </c>
    </row>
    <row r="38" spans="6:11" x14ac:dyDescent="0.3">
      <c r="F38" t="s">
        <v>31</v>
      </c>
    </row>
    <row r="39" spans="6:11" x14ac:dyDescent="0.3">
      <c r="F39" t="s">
        <v>32</v>
      </c>
    </row>
  </sheetData>
  <mergeCells count="7">
    <mergeCell ref="E11:E13"/>
    <mergeCell ref="J11:J13"/>
    <mergeCell ref="J4:J6"/>
    <mergeCell ref="K7:K9"/>
    <mergeCell ref="H17:H19"/>
    <mergeCell ref="L21:L23"/>
    <mergeCell ref="G9:I9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Model</vt:lpstr>
      <vt:lpstr>Line Chart for Revenue Forec</vt:lpstr>
      <vt:lpstr>Bar Chart for Expense Breakd</vt:lpstr>
      <vt:lpstr>Assumptions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2025-11-12T19:31:16Z</dcterms:created>
  <dcterms:modified xsi:type="dcterms:W3CDTF">2025-11-17T17:14:18Z</dcterms:modified>
</cp:coreProperties>
</file>